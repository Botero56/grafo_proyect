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taurantes" sheetId="1" state="visible" r:id="rId3"/>
    <sheet name="Resumen" sheetId="2" state="visible" r:id="rId4"/>
    <sheet name="Planes" sheetId="3" state="visible" r:id="rId5"/>
    <sheet name="Mensajes" sheetId="4" state="visible" r:id="rId6"/>
    <sheet name="Cómo usar" sheetId="5" state="visible" r:id="rId7"/>
  </sheets>
  <definedNames>
    <definedName function="false" hidden="true" localSheetId="0" name="_xlnm._FilterDatabase" vbProcedure="false">Restaurantes!$A$1:$Q$102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<sst xmlns="http://schemas.openxmlformats.org/spreadsheetml/2006/main" count="802" uniqueCount="404">
  <si>
    <t xml:space="preserve">#</t>
  </si>
  <si>
    <t xml:space="preserve">Restaurante</t>
  </si>
  <si>
    <t xml:space="preserve">Ciudad</t>
  </si>
  <si>
    <t xml:space="preserve">Zona</t>
  </si>
  <si>
    <t xml:space="preserve">Tipo</t>
  </si>
  <si>
    <t xml:space="preserve">Teléfono</t>
  </si>
  <si>
    <t xml:space="preserve">Línea</t>
  </si>
  <si>
    <t xml:space="preserve">WhatsApp</t>
  </si>
  <si>
    <t xml:space="preserve">Dirección</t>
  </si>
  <si>
    <t xml:space="preserve">Estado</t>
  </si>
  <si>
    <t xml:space="preserve">Primer contacto</t>
  </si>
  <si>
    <t xml:space="preserve">Seguimiento</t>
  </si>
  <si>
    <t xml:space="preserve">Plan de interés</t>
  </si>
  <si>
    <t xml:space="preserve">Mensualidad</t>
  </si>
  <si>
    <t xml:space="preserve">Próxima acción</t>
  </si>
  <si>
    <t xml:space="preserve">Notas</t>
  </si>
  <si>
    <t xml:space="preserve">Fuente</t>
  </si>
  <si>
    <t xml:space="preserve">Alimentos Rápido y Sabroso SAS</t>
  </si>
  <si>
    <t xml:space="preserve">Bello</t>
  </si>
  <si>
    <t xml:space="preserve">Comida rápida</t>
  </si>
  <si>
    <t xml:space="preserve">3502977864</t>
  </si>
  <si>
    <t xml:space="preserve">Cl 20F # 44-40</t>
  </si>
  <si>
    <t xml:space="preserve">Por contactar</t>
  </si>
  <si>
    <t xml:space="preserve">Enviar mensaje 1</t>
  </si>
  <si>
    <t xml:space="preserve">Cafe Coffee Beans</t>
  </si>
  <si>
    <t xml:space="preserve">Café</t>
  </si>
  <si>
    <t xml:space="preserve">3207893494</t>
  </si>
  <si>
    <t xml:space="preserve">Chickenresto Bar Bello</t>
  </si>
  <si>
    <t xml:space="preserve">Asadero / bar</t>
  </si>
  <si>
    <t xml:space="preserve">3004892646</t>
  </si>
  <si>
    <t xml:space="preserve">Collazos Sabores y Tradición SAS</t>
  </si>
  <si>
    <t xml:space="preserve">3106867462</t>
  </si>
  <si>
    <t xml:space="preserve">Cl 52 # 47-20</t>
  </si>
  <si>
    <t xml:space="preserve">Dkche Servicios Alimenticios SAS</t>
  </si>
  <si>
    <t xml:space="preserve">Comidas preparadas</t>
  </si>
  <si>
    <t xml:space="preserve">3162346489</t>
  </si>
  <si>
    <t xml:space="preserve">Cl 32 # 52-20</t>
  </si>
  <si>
    <t xml:space="preserve">Eatsy SAS</t>
  </si>
  <si>
    <t xml:space="preserve">3243643277</t>
  </si>
  <si>
    <t xml:space="preserve">Dg 52 # 15A-351</t>
  </si>
  <si>
    <t xml:space="preserve">Gourmet &amp; Parrilla SAS</t>
  </si>
  <si>
    <t xml:space="preserve">Parrilla</t>
  </si>
  <si>
    <t xml:space="preserve">3106909696</t>
  </si>
  <si>
    <t xml:space="preserve">Cra 50 # 38A-185</t>
  </si>
  <si>
    <t xml:space="preserve">Inversiones Nancy Restrepo SAS</t>
  </si>
  <si>
    <t xml:space="preserve">Comidas (por confirmar)</t>
  </si>
  <si>
    <t xml:space="preserve">6046051431</t>
  </si>
  <si>
    <t xml:space="preserve">Llamar (fijo)</t>
  </si>
  <si>
    <t xml:space="preserve">Inversiones Pavesave SAS</t>
  </si>
  <si>
    <t xml:space="preserve">Restaurante (expendio a la mesa)</t>
  </si>
  <si>
    <t xml:space="preserve">3116228250</t>
  </si>
  <si>
    <t xml:space="preserve">Inversiones PPMZ SAS</t>
  </si>
  <si>
    <t xml:space="preserve">3106029755</t>
  </si>
  <si>
    <t xml:space="preserve">Mi Lechoncito Restaurante Bar SAS</t>
  </si>
  <si>
    <t xml:space="preserve">Restaurante bar</t>
  </si>
  <si>
    <t xml:space="preserve">6042753497</t>
  </si>
  <si>
    <t xml:space="preserve">Cra 51 # 50A-18</t>
  </si>
  <si>
    <t xml:space="preserve">Que Alitas SAS</t>
  </si>
  <si>
    <t xml:space="preserve">3192808612</t>
  </si>
  <si>
    <t xml:space="preserve">Dg 55 # 43-150</t>
  </si>
  <si>
    <t xml:space="preserve">Raíces El Sabor de la Vida SAS</t>
  </si>
  <si>
    <t xml:space="preserve">6045574628</t>
  </si>
  <si>
    <t xml:space="preserve">Cl 52 # 52-51</t>
  </si>
  <si>
    <t xml:space="preserve">Restaurante Bar La Mula Paisa SAS</t>
  </si>
  <si>
    <t xml:space="preserve">3117986735</t>
  </si>
  <si>
    <t xml:space="preserve">Cra 51 # 50-23</t>
  </si>
  <si>
    <t xml:space="preserve">Restaurante Rancho Grande Bello SAS</t>
  </si>
  <si>
    <t xml:space="preserve">6042721563</t>
  </si>
  <si>
    <t xml:space="preserve">Cra 50 # 48-15</t>
  </si>
  <si>
    <t xml:space="preserve">San Pío Food SAS</t>
  </si>
  <si>
    <t xml:space="preserve">Comidas</t>
  </si>
  <si>
    <t xml:space="preserve">3103708332</t>
  </si>
  <si>
    <t xml:space="preserve">Cl 24A # 55-32</t>
  </si>
  <si>
    <t xml:space="preserve">Vikingo Pollo</t>
  </si>
  <si>
    <t xml:space="preserve">Asadero</t>
  </si>
  <si>
    <t xml:space="preserve">3116282314</t>
  </si>
  <si>
    <t xml:space="preserve">AFM SAS</t>
  </si>
  <si>
    <t xml:space="preserve">Medellín</t>
  </si>
  <si>
    <t xml:space="preserve">El Poblado</t>
  </si>
  <si>
    <t xml:space="preserve">6043222896</t>
  </si>
  <si>
    <t xml:space="preserve">Av Las Palmas</t>
  </si>
  <si>
    <t xml:space="preserve">Alambique Medellín SAS</t>
  </si>
  <si>
    <t xml:space="preserve">6043113714</t>
  </si>
  <si>
    <t xml:space="preserve">Cl 10 # 43A-30</t>
  </si>
  <si>
    <t xml:space="preserve">Albenzu SAS</t>
  </si>
  <si>
    <t xml:space="preserve">6044449921</t>
  </si>
  <si>
    <t xml:space="preserve">Cra 81 # 32-98 L 133</t>
  </si>
  <si>
    <t xml:space="preserve">Ammazza Laureles SAS</t>
  </si>
  <si>
    <t xml:space="preserve">Laureles</t>
  </si>
  <si>
    <t xml:space="preserve">3182822160</t>
  </si>
  <si>
    <t xml:space="preserve">Cra 76 # 73B-39</t>
  </si>
  <si>
    <t xml:space="preserve">Apetentes SAS</t>
  </si>
  <si>
    <t xml:space="preserve">Cafetería</t>
  </si>
  <si>
    <t xml:space="preserve">3105145283</t>
  </si>
  <si>
    <t xml:space="preserve">Cl 20 Sur # 27-55 L 139</t>
  </si>
  <si>
    <t xml:space="preserve">Arepas del Fogón Paisa SAS</t>
  </si>
  <si>
    <t xml:space="preserve">Arepería</t>
  </si>
  <si>
    <t xml:space="preserve">6044481307</t>
  </si>
  <si>
    <t xml:space="preserve">Cra 28 # 59-21</t>
  </si>
  <si>
    <t xml:space="preserve">Arepas Las Chachas SAS</t>
  </si>
  <si>
    <t xml:space="preserve">3197098156</t>
  </si>
  <si>
    <t xml:space="preserve">Cra 82A # 30-51</t>
  </si>
  <si>
    <t xml:space="preserve">Asados y Típicos al Carbón SAS</t>
  </si>
  <si>
    <t xml:space="preserve">Centro</t>
  </si>
  <si>
    <t xml:space="preserve">Asados</t>
  </si>
  <si>
    <t xml:space="preserve">3234561811</t>
  </si>
  <si>
    <t xml:space="preserve">Cra 52 # 46-68 L 327</t>
  </si>
  <si>
    <t xml:space="preserve">Atlántico Peruano SAS</t>
  </si>
  <si>
    <t xml:space="preserve">Restaurante peruano</t>
  </si>
  <si>
    <t xml:space="preserve">3104225583</t>
  </si>
  <si>
    <t xml:space="preserve">Cra 33 # 7-55</t>
  </si>
  <si>
    <t xml:space="preserve">Bon Camarón Ceviche SAS</t>
  </si>
  <si>
    <t xml:space="preserve">Cevichería</t>
  </si>
  <si>
    <t xml:space="preserve">3005944617</t>
  </si>
  <si>
    <t xml:space="preserve">Bárbaro Cocina Primitiva</t>
  </si>
  <si>
    <t xml:space="preserve">El Poblado / Laureles</t>
  </si>
  <si>
    <t xml:space="preserve">Restaurante con domicilios</t>
  </si>
  <si>
    <t xml:space="preserve">3176762292</t>
  </si>
  <si>
    <t xml:space="preserve">Café Retiro SAS</t>
  </si>
  <si>
    <t xml:space="preserve">3146454826</t>
  </si>
  <si>
    <t xml:space="preserve">Cra 48A # 16 Sur-86 Of 701</t>
  </si>
  <si>
    <t xml:space="preserve">Café Sudamérica Colombia SAS</t>
  </si>
  <si>
    <t xml:space="preserve">3007600519</t>
  </si>
  <si>
    <t xml:space="preserve">Cl 20 Sur # 27-55</t>
  </si>
  <si>
    <t xml:space="preserve">Chapati Halal SAS</t>
  </si>
  <si>
    <t xml:space="preserve">3045686852</t>
  </si>
  <si>
    <t xml:space="preserve">Cra 48 # 7-298</t>
  </si>
  <si>
    <t xml:space="preserve">Chef Burger Company SAS</t>
  </si>
  <si>
    <t xml:space="preserve">6044482378</t>
  </si>
  <si>
    <t xml:space="preserve">Cra 43 # 25A-127</t>
  </si>
  <si>
    <t xml:space="preserve">Cocina Café y Pan SAS</t>
  </si>
  <si>
    <t xml:space="preserve">Café / panadería</t>
  </si>
  <si>
    <t xml:space="preserve">3104197199</t>
  </si>
  <si>
    <t xml:space="preserve">Cra 25A # 1A Sur-45 Lc 3465</t>
  </si>
  <si>
    <t xml:space="preserve">Coffee Development Projects SAS</t>
  </si>
  <si>
    <t xml:space="preserve">3246015171</t>
  </si>
  <si>
    <t xml:space="preserve">Cra 34 # 7-36</t>
  </si>
  <si>
    <t xml:space="preserve">Correo Carne y Vino</t>
  </si>
  <si>
    <t xml:space="preserve">3107693578</t>
  </si>
  <si>
    <t xml:space="preserve">Delirio Exquisito</t>
  </si>
  <si>
    <t xml:space="preserve">3113663840</t>
  </si>
  <si>
    <t xml:space="preserve">Otro número: 3505671075</t>
  </si>
  <si>
    <t xml:space="preserve">Delivery and Delicius Sushi SAS</t>
  </si>
  <si>
    <t xml:space="preserve">Sushi a domicilio</t>
  </si>
  <si>
    <t xml:space="preserve">3112962649</t>
  </si>
  <si>
    <t xml:space="preserve">Cl 9A # 38-26</t>
  </si>
  <si>
    <t xml:space="preserve">El Pollote Manrique SAS</t>
  </si>
  <si>
    <t xml:space="preserve">Manrique</t>
  </si>
  <si>
    <t xml:space="preserve">Asadero (por confirmar)</t>
  </si>
  <si>
    <t xml:space="preserve">3017097365</t>
  </si>
  <si>
    <t xml:space="preserve">Cl 75C # 32-13</t>
  </si>
  <si>
    <t xml:space="preserve">El Rey Parrillero Laureles SAS</t>
  </si>
  <si>
    <t xml:space="preserve">3017915689</t>
  </si>
  <si>
    <t xml:space="preserve">Cra 73 Circular 3 # 30</t>
  </si>
  <si>
    <t xml:space="preserve">Elemental Cocina Mesa Bar SAS</t>
  </si>
  <si>
    <t xml:space="preserve">3232121418</t>
  </si>
  <si>
    <t xml:space="preserve">Cra 52A # 12-47</t>
  </si>
  <si>
    <t xml:space="preserve">Empanadas Las Calidosas del Centro SAS</t>
  </si>
  <si>
    <t xml:space="preserve">3216289188</t>
  </si>
  <si>
    <t xml:space="preserve">Cl 53 # 49-23</t>
  </si>
  <si>
    <t xml:space="preserve">Eventos y Alimentos SAS</t>
  </si>
  <si>
    <t xml:space="preserve">Autoservicio de comidas</t>
  </si>
  <si>
    <t xml:space="preserve">3148079327</t>
  </si>
  <si>
    <t xml:space="preserve">Cra 72 # 48-100</t>
  </si>
  <si>
    <t xml:space="preserve">Gastronomía y Eventos Empresariales SAS</t>
  </si>
  <si>
    <t xml:space="preserve">6043545565</t>
  </si>
  <si>
    <t xml:space="preserve">Gourmet y Cocina SAS</t>
  </si>
  <si>
    <t xml:space="preserve">6043113103</t>
  </si>
  <si>
    <t xml:space="preserve">Cl 6 Sur # 43A-92</t>
  </si>
  <si>
    <t xml:space="preserve">Grupo Alimenticio Pizzotas SAS</t>
  </si>
  <si>
    <t xml:space="preserve">Pizzería</t>
  </si>
  <si>
    <t xml:space="preserve">6042532343</t>
  </si>
  <si>
    <t xml:space="preserve">Cl 35 # 85B-60</t>
  </si>
  <si>
    <t xml:space="preserve">Hamburguesas La 46 SAS</t>
  </si>
  <si>
    <t xml:space="preserve">6042330893</t>
  </si>
  <si>
    <t xml:space="preserve">Cra 46 # 79-40</t>
  </si>
  <si>
    <t xml:space="preserve">Hamburguesas y Perros del Barrio SAS</t>
  </si>
  <si>
    <t xml:space="preserve">6045299868</t>
  </si>
  <si>
    <t xml:space="preserve">Cra 71 # 30A-04</t>
  </si>
  <si>
    <t xml:space="preserve">Hanami SAS</t>
  </si>
  <si>
    <t xml:space="preserve">3013381466</t>
  </si>
  <si>
    <t xml:space="preserve">Cl 10B # 35-8</t>
  </si>
  <si>
    <t xml:space="preserve">Happy Grill Cocina SAS</t>
  </si>
  <si>
    <t xml:space="preserve">3004050749</t>
  </si>
  <si>
    <t xml:space="preserve">Happy Wraps SAS</t>
  </si>
  <si>
    <t xml:space="preserve">3174389371</t>
  </si>
  <si>
    <t xml:space="preserve">Cra 27D # 34A Sur-91</t>
  </si>
  <si>
    <t xml:space="preserve">Il Capuccino SAS</t>
  </si>
  <si>
    <t xml:space="preserve">Restaurante café</t>
  </si>
  <si>
    <t xml:space="preserve">3184218260</t>
  </si>
  <si>
    <t xml:space="preserve">Cl 7 # 39-181 L 104</t>
  </si>
  <si>
    <t xml:space="preserve">Inversiones CRD Poblado SAS</t>
  </si>
  <si>
    <t xml:space="preserve">Comida rápida (Subway)</t>
  </si>
  <si>
    <t xml:space="preserve">6043227827</t>
  </si>
  <si>
    <t xml:space="preserve">Cra 25A # 1-31 Of 1118</t>
  </si>
  <si>
    <t xml:space="preserve">Inversiones Gastronómicas El Fogonazo SAS</t>
  </si>
  <si>
    <t xml:space="preserve">3225529442</t>
  </si>
  <si>
    <t xml:space="preserve">Cra 43A # 7 Sur-170 L 4031</t>
  </si>
  <si>
    <t xml:space="preserve">Inversiones Parrilla y Mar SAS</t>
  </si>
  <si>
    <t xml:space="preserve">Parrilla / mar</t>
  </si>
  <si>
    <t xml:space="preserve">6045056135</t>
  </si>
  <si>
    <t xml:space="preserve">Cl 73 # 51D-71 L 2131</t>
  </si>
  <si>
    <t xml:space="preserve">Inversiones Sushi Train SAS</t>
  </si>
  <si>
    <t xml:space="preserve">Sushi</t>
  </si>
  <si>
    <t xml:space="preserve">6042668447</t>
  </si>
  <si>
    <t xml:space="preserve">Cl 10A # 34-11 Int 1003</t>
  </si>
  <si>
    <t xml:space="preserve">Kuipers Parrilla SAS</t>
  </si>
  <si>
    <t xml:space="preserve">3225169897</t>
  </si>
  <si>
    <t xml:space="preserve">Cl 115 # 64</t>
  </si>
  <si>
    <t xml:space="preserve">La Casa del Alimento SAS</t>
  </si>
  <si>
    <t xml:space="preserve">3185878459</t>
  </si>
  <si>
    <t xml:space="preserve">Cra 87 # 45C-17</t>
  </si>
  <si>
    <t xml:space="preserve">La Gallinita Aranjuez SAS</t>
  </si>
  <si>
    <t xml:space="preserve">Aranjuez</t>
  </si>
  <si>
    <t xml:space="preserve">3188256809</t>
  </si>
  <si>
    <t xml:space="preserve">Cra 48 # 93-97</t>
  </si>
  <si>
    <t xml:space="preserve">La Oculta Medellín SAS</t>
  </si>
  <si>
    <t xml:space="preserve">Restaurante (por confirmar)</t>
  </si>
  <si>
    <t xml:space="preserve">3015194439</t>
  </si>
  <si>
    <t xml:space="preserve">La Ribera Restaurante SAS</t>
  </si>
  <si>
    <t xml:space="preserve">3017379330</t>
  </si>
  <si>
    <t xml:space="preserve">Las 3P Italianas SAS</t>
  </si>
  <si>
    <t xml:space="preserve">Restaurante italiano</t>
  </si>
  <si>
    <t xml:space="preserve">6044482874</t>
  </si>
  <si>
    <t xml:space="preserve">Cra 78 # 45E-61</t>
  </si>
  <si>
    <t xml:space="preserve">Las Tres SAS</t>
  </si>
  <si>
    <t xml:space="preserve">6044485003</t>
  </si>
  <si>
    <t xml:space="preserve">Cl 17A Sur # 44-148</t>
  </si>
  <si>
    <t xml:space="preserve">Laupa SAS</t>
  </si>
  <si>
    <t xml:space="preserve">6044804460</t>
  </si>
  <si>
    <t xml:space="preserve">Laureles Peruano SAS</t>
  </si>
  <si>
    <t xml:space="preserve">6043225142</t>
  </si>
  <si>
    <t xml:space="preserve">Cl 39D # 74-62</t>
  </si>
  <si>
    <t xml:space="preserve">Living Restaurantes SAS</t>
  </si>
  <si>
    <t xml:space="preserve">6044483260</t>
  </si>
  <si>
    <t xml:space="preserve">Los Chamos Arepas Venezolanas y Algo Más SAS</t>
  </si>
  <si>
    <t xml:space="preserve">3103773771</t>
  </si>
  <si>
    <t xml:space="preserve">Circular 5 # 70-30</t>
  </si>
  <si>
    <t xml:space="preserve">Los Mal Sentados SAS</t>
  </si>
  <si>
    <t xml:space="preserve">6043116199</t>
  </si>
  <si>
    <t xml:space="preserve">Cra 36 # 10B-26</t>
  </si>
  <si>
    <t xml:space="preserve">Love Restaurant SAS</t>
  </si>
  <si>
    <t xml:space="preserve">3052247450</t>
  </si>
  <si>
    <t xml:space="preserve">Cl 33 # 74E-156 P 7</t>
  </si>
  <si>
    <t xml:space="preserve">Lu Mara Restaurante SAS</t>
  </si>
  <si>
    <t xml:space="preserve">3015383860</t>
  </si>
  <si>
    <t xml:space="preserve">Cl 33 # 83-02</t>
  </si>
  <si>
    <t xml:space="preserve">Makabro Salvaje SAS</t>
  </si>
  <si>
    <t xml:space="preserve">3183121016</t>
  </si>
  <si>
    <t xml:space="preserve">Cra 80 # 48B-40</t>
  </si>
  <si>
    <t xml:space="preserve">Medellín 777 SAS</t>
  </si>
  <si>
    <t xml:space="preserve">3017809516</t>
  </si>
  <si>
    <t xml:space="preserve">Cra 29 # 16-201</t>
  </si>
  <si>
    <t xml:space="preserve">Mojitos Restaurant Bar SAS</t>
  </si>
  <si>
    <t xml:space="preserve">3117496151</t>
  </si>
  <si>
    <t xml:space="preserve">Molido Café y Pan SAS</t>
  </si>
  <si>
    <t xml:space="preserve">3507750139</t>
  </si>
  <si>
    <t xml:space="preserve">Mondongos Colombia SAS</t>
  </si>
  <si>
    <t xml:space="preserve">Belén</t>
  </si>
  <si>
    <t xml:space="preserve">Restaurante típico</t>
  </si>
  <si>
    <t xml:space="preserve">3106423348</t>
  </si>
  <si>
    <t xml:space="preserve">Cra 70C # 3-43</t>
  </si>
  <si>
    <t xml:space="preserve">Mundo Verde Salud Gourmet SAS</t>
  </si>
  <si>
    <t xml:space="preserve">Restaurante saludable</t>
  </si>
  <si>
    <t xml:space="preserve">6044441838</t>
  </si>
  <si>
    <t xml:space="preserve">Cra 43A # 1A Sur-29</t>
  </si>
  <si>
    <t xml:space="preserve">Mystic Foods SAS</t>
  </si>
  <si>
    <t xml:space="preserve">3178548254</t>
  </si>
  <si>
    <t xml:space="preserve">Cl 45F # 77A-61</t>
  </si>
  <si>
    <t xml:space="preserve">Neo Gourmet Food SAS</t>
  </si>
  <si>
    <t xml:space="preserve">3137892487</t>
  </si>
  <si>
    <t xml:space="preserve">Niku Cartagena SAS</t>
  </si>
  <si>
    <t xml:space="preserve">3108338166</t>
  </si>
  <si>
    <t xml:space="preserve">Cl 12 # 31-85</t>
  </si>
  <si>
    <t xml:space="preserve">Nutriendo Almas SAS</t>
  </si>
  <si>
    <t xml:space="preserve">6043012030</t>
  </si>
  <si>
    <t xml:space="preserve">Cl 18 # 43A Sur-174</t>
  </si>
  <si>
    <t xml:space="preserve">Oasis Club Café SAS</t>
  </si>
  <si>
    <t xml:space="preserve">3054146615</t>
  </si>
  <si>
    <t xml:space="preserve">Cra 73 # 74-10</t>
  </si>
  <si>
    <t xml:space="preserve">Office Burger Family SAS</t>
  </si>
  <si>
    <t xml:space="preserve">3005942872</t>
  </si>
  <si>
    <t xml:space="preserve">Cra 38 # 18-101 L 9723</t>
  </si>
  <si>
    <t xml:space="preserve">Oni Medellín SAS</t>
  </si>
  <si>
    <t xml:space="preserve">3246411797</t>
  </si>
  <si>
    <t xml:space="preserve">Cra 35 # 10B-80 L 105</t>
  </si>
  <si>
    <t xml:space="preserve">Operamos Restaurantes SAS</t>
  </si>
  <si>
    <t xml:space="preserve">3202342421</t>
  </si>
  <si>
    <t xml:space="preserve">Cra 35 # 29-02 Int 101</t>
  </si>
  <si>
    <t xml:space="preserve">Opulencia SAS</t>
  </si>
  <si>
    <t xml:space="preserve">3104939221</t>
  </si>
  <si>
    <t xml:space="preserve">Cl 17 # 40B-185</t>
  </si>
  <si>
    <t xml:space="preserve">Organización Nueva Aurora SAS</t>
  </si>
  <si>
    <t xml:space="preserve">6044444478</t>
  </si>
  <si>
    <t xml:space="preserve">Osteria Local SAS</t>
  </si>
  <si>
    <t xml:space="preserve">3183758418</t>
  </si>
  <si>
    <t xml:space="preserve">Pizza Americana SAS</t>
  </si>
  <si>
    <t xml:space="preserve">6044804669</t>
  </si>
  <si>
    <t xml:space="preserve">Cra 48 # 63A-35</t>
  </si>
  <si>
    <t xml:space="preserve">Pizzaiolo Colombia SAS</t>
  </si>
  <si>
    <t xml:space="preserve">3134095152</t>
  </si>
  <si>
    <t xml:space="preserve">Cra 37 # 8A-15</t>
  </si>
  <si>
    <t xml:space="preserve">Pizzalas AC SAS</t>
  </si>
  <si>
    <t xml:space="preserve">3012108726</t>
  </si>
  <si>
    <t xml:space="preserve">Cra 73 # 98-88</t>
  </si>
  <si>
    <t xml:space="preserve">Pollos a la Brasa Mario de la América La 44 SAS</t>
  </si>
  <si>
    <t xml:space="preserve">La América</t>
  </si>
  <si>
    <t xml:space="preserve">3104521433</t>
  </si>
  <si>
    <t xml:space="preserve">Cl 44 # 80-185</t>
  </si>
  <si>
    <t xml:space="preserve">Restaurante Chino Shenlong SAS</t>
  </si>
  <si>
    <t xml:space="preserve">Restaurante chino</t>
  </si>
  <si>
    <t xml:space="preserve">3242312925</t>
  </si>
  <si>
    <t xml:space="preserve">Cra 31A # 102B-43</t>
  </si>
  <si>
    <t xml:space="preserve">Restaurante Gran Ching Hong Yun SAS</t>
  </si>
  <si>
    <t xml:space="preserve">3117582286</t>
  </si>
  <si>
    <t xml:space="preserve">Cl 37 # 88-65 Int 101</t>
  </si>
  <si>
    <t xml:space="preserve">Restaurante Las Panas SAS</t>
  </si>
  <si>
    <t xml:space="preserve">Guayabal</t>
  </si>
  <si>
    <t xml:space="preserve">3206914312</t>
  </si>
  <si>
    <t xml:space="preserve">Cra 51 # 8 Sur-18</t>
  </si>
  <si>
    <t xml:space="preserve">Rico Pa Llevar SAS</t>
  </si>
  <si>
    <t xml:space="preserve">Comida para llevar</t>
  </si>
  <si>
    <t xml:space="preserve">6045219703</t>
  </si>
  <si>
    <t xml:space="preserve">Cra 43E # 12-16</t>
  </si>
  <si>
    <t xml:space="preserve">Roll Company SAS</t>
  </si>
  <si>
    <t xml:space="preserve">Restaurante (sushi por confirmar)</t>
  </si>
  <si>
    <t xml:space="preserve">3104588500</t>
  </si>
  <si>
    <t xml:space="preserve">Av 74B # 39B-140</t>
  </si>
  <si>
    <t xml:space="preserve">Sabores de India SAS</t>
  </si>
  <si>
    <t xml:space="preserve">Restaurante indio</t>
  </si>
  <si>
    <t xml:space="preserve">6043228781</t>
  </si>
  <si>
    <t xml:space="preserve">Somos Uno Resto Café SAS</t>
  </si>
  <si>
    <t xml:space="preserve">Taco House Mexican Grill SAS</t>
  </si>
  <si>
    <t xml:space="preserve">Restaurante mexicano</t>
  </si>
  <si>
    <t xml:space="preserve">3114246481</t>
  </si>
  <si>
    <t xml:space="preserve">Cra 33 # 7-127</t>
  </si>
  <si>
    <t xml:space="preserve">Toscanna Pizzería SAS</t>
  </si>
  <si>
    <t xml:space="preserve">6043536605</t>
  </si>
  <si>
    <t xml:space="preserve">Circular 70 # 10-01</t>
  </si>
  <si>
    <t xml:space="preserve">Vegan &amp; Veggie SAS</t>
  </si>
  <si>
    <t xml:space="preserve">Restaurante vegano</t>
  </si>
  <si>
    <t xml:space="preserve">3044315616</t>
  </si>
  <si>
    <t xml:space="preserve">Cl 12 # 43D-109</t>
  </si>
  <si>
    <t xml:space="preserve">W Fuego Burger Inversiones SAS</t>
  </si>
  <si>
    <t xml:space="preserve">3204731706</t>
  </si>
  <si>
    <t xml:space="preserve">Dg 29D # 9 Sur-110</t>
  </si>
  <si>
    <t xml:space="preserve">Resumen de la prospección</t>
  </si>
  <si>
    <t xml:space="preserve">Se actualiza solo a medida que cambia la columna Estado en Restaurantes.</t>
  </si>
  <si>
    <t xml:space="preserve">Restaurantes</t>
  </si>
  <si>
    <t xml:space="preserve">% del total</t>
  </si>
  <si>
    <t xml:space="preserve">Mensaje enviado</t>
  </si>
  <si>
    <t xml:space="preserve">Respondió</t>
  </si>
  <si>
    <t xml:space="preserve">Demo agendada</t>
  </si>
  <si>
    <t xml:space="preserve">En prueba</t>
  </si>
  <si>
    <t xml:space="preserve">Cliente</t>
  </si>
  <si>
    <t xml:space="preserve">No interesado</t>
  </si>
  <si>
    <t xml:space="preserve">Número errado</t>
  </si>
  <si>
    <t xml:space="preserve">Total</t>
  </si>
  <si>
    <t xml:space="preserve">Indicadores</t>
  </si>
  <si>
    <t xml:space="preserve">Contactados (todo menos Por contactar)</t>
  </si>
  <si>
    <t xml:space="preserve">Tasa de respuesta</t>
  </si>
  <si>
    <t xml:space="preserve">Demos, pruebas y clientes</t>
  </si>
  <si>
    <t xml:space="preserve">Clientes</t>
  </si>
  <si>
    <t xml:space="preserve">Ingreso mensual de clientes (COP)</t>
  </si>
  <si>
    <t xml:space="preserve">Seguimientos vencidos hoy</t>
  </si>
  <si>
    <t xml:space="preserve">Restaurantes con celular</t>
  </si>
  <si>
    <t xml:space="preserve">Restaurantes en Medellín</t>
  </si>
  <si>
    <t xml:space="preserve">Restaurantes en Bello</t>
  </si>
  <si>
    <t xml:space="preserve">Planes y precios</t>
  </si>
  <si>
    <t xml:space="preserve">Plan</t>
  </si>
  <si>
    <t xml:space="preserve">Mensualidad (COP)</t>
  </si>
  <si>
    <t xml:space="preserve">Instalación (COP)</t>
  </si>
  <si>
    <t xml:space="preserve">Impresora opcional (COP)</t>
  </si>
  <si>
    <t xml:space="preserve">Incluye</t>
  </si>
  <si>
    <t xml:space="preserve">Básico</t>
  </si>
  <si>
    <t xml:space="preserve">No disponible</t>
  </si>
  <si>
    <t xml:space="preserve">Bot de pedidos (menú, catálogo, audios), IA del administrador, domicilios por zona y efectivo. Transferencias las confirma una persona.</t>
  </si>
  <si>
    <t xml:space="preserve">Avanzado</t>
  </si>
  <si>
    <t xml:space="preserve">Todo lo del Básico, y el bot lee el comprobante de transferencia. Impresora de comandas opcional.</t>
  </si>
  <si>
    <t xml:space="preserve">Premium</t>
  </si>
  <si>
    <t xml:space="preserve">Todo lo del Avanzado, más domiciliarios con liquidación y cierre diario, estadísticas, consultas de pedidos y Excel.</t>
  </si>
  <si>
    <t xml:space="preserve">Fuente: tabla de planes del panel, enviada por el dueño del producto (28-oct-2026).</t>
  </si>
  <si>
    <t xml:space="preserve">Mensajes para WhatsApp (uno por uno, desde el número de ventas)</t>
  </si>
  <si>
    <t xml:space="preserve">1. Primer mensaje</t>
  </si>
  <si>
    <t xml:space="preserve">Buenas, ¿hablo con el restaurante {nombre}? Mi nombre es {su nombre}, le escribo desde Medellín. Hicimos un asistente para el WhatsApp de restaurantes: le contesta a los clientes, toma el pedido completo con la dirección y le calcula el domicilio según el barrio. El menú del día se carga mandando una foto. ¿Le puedo mostrar cómo funciona?</t>
  </si>
  <si>
    <t xml:space="preserve">2. Si hacen domicilios</t>
  </si>
  <si>
    <t xml:space="preserve">Hola, vi que {nombre} hace domicilios por WhatsApp. A la hora del almuerzo se llenan los mensajes y alguien tiene que contestar uno por uno, ¿cierto? Tenemos un asistente que contesta, toma el pedido y se lo deja listo. Si quiere, la comanda le sale impresa en la cocina. ¿Le gustaría verlo funcionando con su propio menú?</t>
  </si>
  <si>
    <t xml:space="preserve">3. Seguimiento (una sola vez)</t>
  </si>
  <si>
    <t xml:space="preserve">Hola de nuevo. Le escribí la semana pasada por el asistente de pedidos para WhatsApp. Si quiere, le preparo una prueba con el menú de {nombre} de esta semana y usted mismo le escribe como si fuera un cliente. ¿Le sirve?</t>
  </si>
  <si>
    <t xml:space="preserve">4. Cuando dicen que sí</t>
  </si>
  <si>
    <t xml:space="preserve">Listo, con mucho gusto. Mándeme una foto del menú de hoy y los barrios a donde hace domicilios con el valor de cada uno. Con eso se lo dejo armado y le paso el número para que pruebe.</t>
  </si>
  <si>
    <t xml:space="preserve">5. Llamada a un fijo</t>
  </si>
  <si>
    <t xml:space="preserve">Buenas, ¿con el restaurante {nombre}? Le habla {su nombre}. ¿Ustedes reciben pedidos por WhatsApp? Le pregunto porque tenemos un asistente que los contesta y toma el pedido completo. ¿Me regala un celular para mandarle cómo funciona?</t>
  </si>
  <si>
    <t xml:space="preserve">Si dicen que no</t>
  </si>
  <si>
    <t xml:space="preserve">Listo, no le vuelvo a escribir. Que le vaya muy bien.</t>
  </si>
  <si>
    <t xml:space="preserve">Cómo usar esta hoja</t>
  </si>
  <si>
    <t xml:space="preserve">1. Las celdas amarillas de Restaurantes son las que usted llena: Estado, Primer contacto, Plan de interés, Próxima acción y Notas. Lo demás se calcula solo.</t>
  </si>
  <si>
    <t xml:space="preserve">2. Ejemplo: escribe por WhatsApp a un restaurante → Estado = Mensaje enviado, Primer contacto = 28/10/2026. La columna Seguimiento muestra 01/11/2026 y se pone en rojo cuando ya toca escribir de nuevo.</t>
  </si>
  <si>
    <t xml:space="preserve">3. La columna WhatsApp abre el chat directo con el celular del restaurante. Los fijos (604...) se llaman: use el mensaje 5 de la pestaña Mensajes.</t>
  </si>
  <si>
    <t xml:space="preserve">4. Cuando alguien escoja un plan, márquelo en Plan de interés; la mensualidad sale de la pestaña Planes.</t>
  </si>
  <si>
    <t xml:space="preserve">5. Si el número no existe o es de otro negocio, Estado = Número errado.</t>
  </si>
  <si>
    <t xml:space="preserve">6. Para no arriesgar el número de ventas: 30 a 40 mensajes al día, uno por uno, nunca desde el número del bot.</t>
  </si>
  <si>
    <t xml:space="preserve">7. Origen de los datos: directorios de empresas registradas (informacolombia.com y einforma.co) y una guía de restaurantes con domicilio (medellinguru.com, 2020). Son registros públicos que pueden estar desactualizados; la columna Fuente lleva a la ficha de cada uno.</t>
  </si>
  <si>
    <t xml:space="preserve">8. Para conseguir más restaurantes: python3 ventas/buscar_restaurantes.py --solo-contactables (necesita acceso a OpenStreetMap).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</si>
</sst>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\$#,##0;&quot;-$&quot;#,##0;&quot;&quot;"/>
    <numFmt numFmtId="168" formatCode="0.0%"/>
    <numFmt numFmtId="169" formatCode="\$#,##0;&quot;-$&quot;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5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E7E6E6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26"/>
    <col collapsed="false" customWidth="true" hidden="false" outlineLevel="0" max="16" min="16" style="0" width="34"/>
    <col collapsed="false" customWidth="true" hidden="false" outlineLevel="0" max="17" min="17" style="0" width="11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2" t="n">
        <v>1</v>
      </c>
      <c r="B2" s="2" t="s">
        <v>17</v>
      </c>
      <c r="C2" s="2" t="s">
        <v>18</v>
      </c>
      <c r="D2" s="2"/>
      <c r="E2" s="2" t="s">
        <v>19</v>
      </c>
      <c r="F2" s="3" t="s">
        <v>20</v>
      </c>
      <c r="G2" s="2" t="str">
        <f aca="false">IF(LEFT(F2,1)="3","Celular","Fijo")</f>
        <v>Celular</v>
      </c>
      <c r="H2" s="4" t="str">
        <f aca="false">IF(G2="Celular",HYPERLINK("https://wa.me/57"&amp;F2,"Abrir chat"),"")</f>
        <v>Abrir chat</v>
      </c>
      <c r="I2" s="2" t="s">
        <v>21</v>
      </c>
      <c r="J2" s="5" t="s">
        <v>22</v>
      </c>
      <c r="K2" s="6"/>
      <c r="L2" s="7" t="str">
        <f aca="false">IF(K2="","",K2+4)</f>
        <v/>
      </c>
      <c r="M2" s="5"/>
      <c r="N2" s="8" t="str">
        <f aca="false">IF(M2="","",INDEX(Planes!$B$4:$B$6,MATCH(M2,Planes!$A$4:$A$6,0)))</f>
        <v/>
      </c>
      <c r="O2" s="5" t="s">
        <v>23</v>
      </c>
      <c r="P2" s="5"/>
      <c r="Q2" s="4" t="str">
        <f aca="false">HYPERLINK("https://www.informacolombia.com/directorio-empresas/informacion-empresa/alimentos-rapido-sabroso-sas","Ver ficha")</f>
        <v>Ver ficha</v>
      </c>
    </row>
    <row r="3" customFormat="false" ht="15" hidden="false" customHeight="false" outlineLevel="0" collapsed="false">
      <c r="A3" s="2" t="n">
        <v>2</v>
      </c>
      <c r="B3" s="2" t="s">
        <v>24</v>
      </c>
      <c r="C3" s="2" t="s">
        <v>18</v>
      </c>
      <c r="D3" s="2"/>
      <c r="E3" s="2" t="s">
        <v>25</v>
      </c>
      <c r="F3" s="3" t="s">
        <v>26</v>
      </c>
      <c r="G3" s="2" t="str">
        <f aca="false">IF(LEFT(F3,1)="3","Celular","Fijo")</f>
        <v>Celular</v>
      </c>
      <c r="H3" s="4" t="str">
        <f aca="false">IF(G3="Celular",HYPERLINK("https://wa.me/57"&amp;F3,"Abrir chat"),"")</f>
        <v>Abrir chat</v>
      </c>
      <c r="I3" s="2"/>
      <c r="J3" s="5" t="s">
        <v>22</v>
      </c>
      <c r="K3" s="6"/>
      <c r="L3" s="7" t="str">
        <f aca="false">IF(K3="","",K3+4)</f>
        <v/>
      </c>
      <c r="M3" s="5"/>
      <c r="N3" s="8" t="str">
        <f aca="false">IF(M3="","",INDEX(Planes!$B$4:$B$6,MATCH(M3,Planes!$A$4:$A$6,0)))</f>
        <v/>
      </c>
      <c r="O3" s="5" t="s">
        <v>23</v>
      </c>
      <c r="P3" s="5"/>
      <c r="Q3" s="4" t="str">
        <f aca="false">HYPERLINK("https://www.informacolombia.com/directorio-empresas/actividad/560_ACTIVIDADES-DE-SERVICIOS-DE-COMIDAS-Y-BEBIDAS/localidad_bello?qPg=2","Ver ficha")</f>
        <v>Ver ficha</v>
      </c>
    </row>
    <row r="4" customFormat="false" ht="15" hidden="false" customHeight="false" outlineLevel="0" collapsed="false">
      <c r="A4" s="2" t="n">
        <v>3</v>
      </c>
      <c r="B4" s="2" t="s">
        <v>27</v>
      </c>
      <c r="C4" s="2" t="s">
        <v>18</v>
      </c>
      <c r="D4" s="2"/>
      <c r="E4" s="2" t="s">
        <v>28</v>
      </c>
      <c r="F4" s="3" t="s">
        <v>29</v>
      </c>
      <c r="G4" s="2" t="str">
        <f aca="false">IF(LEFT(F4,1)="3","Celular","Fijo")</f>
        <v>Celular</v>
      </c>
      <c r="H4" s="4" t="str">
        <f aca="false">IF(G4="Celular",HYPERLINK("https://wa.me/57"&amp;F4,"Abrir chat"),"")</f>
        <v>Abrir chat</v>
      </c>
      <c r="I4" s="2"/>
      <c r="J4" s="5" t="s">
        <v>22</v>
      </c>
      <c r="K4" s="6"/>
      <c r="L4" s="7" t="str">
        <f aca="false">IF(K4="","",K4+4)</f>
        <v/>
      </c>
      <c r="M4" s="5"/>
      <c r="N4" s="8" t="str">
        <f aca="false">IF(M4="","",INDEX(Planes!$B$4:$B$6,MATCH(M4,Planes!$A$4:$A$6,0)))</f>
        <v/>
      </c>
      <c r="O4" s="5" t="s">
        <v>23</v>
      </c>
      <c r="P4" s="5"/>
      <c r="Q4" s="4" t="str">
        <f aca="false">HYPERLINK("https://www.informacolombia.com/directorio-empresas/actividad/560_ACTIVIDADES-DE-SERVICIOS-DE-COMIDAS-Y-BEBIDAS/localidad_bello?qPg=2","Ver ficha")</f>
        <v>Ver ficha</v>
      </c>
    </row>
    <row r="5" customFormat="false" ht="15" hidden="false" customHeight="false" outlineLevel="0" collapsed="false">
      <c r="A5" s="2" t="n">
        <v>4</v>
      </c>
      <c r="B5" s="2" t="s">
        <v>30</v>
      </c>
      <c r="C5" s="2" t="s">
        <v>18</v>
      </c>
      <c r="D5" s="2"/>
      <c r="E5" s="2" t="s">
        <v>1</v>
      </c>
      <c r="F5" s="3" t="s">
        <v>31</v>
      </c>
      <c r="G5" s="2" t="str">
        <f aca="false">IF(LEFT(F5,1)="3","Celular","Fijo")</f>
        <v>Celular</v>
      </c>
      <c r="H5" s="4" t="str">
        <f aca="false">IF(G5="Celular",HYPERLINK("https://wa.me/57"&amp;F5,"Abrir chat"),"")</f>
        <v>Abrir chat</v>
      </c>
      <c r="I5" s="2" t="s">
        <v>32</v>
      </c>
      <c r="J5" s="5" t="s">
        <v>22</v>
      </c>
      <c r="K5" s="6"/>
      <c r="L5" s="7" t="str">
        <f aca="false">IF(K5="","",K5+4)</f>
        <v/>
      </c>
      <c r="M5" s="5"/>
      <c r="N5" s="8" t="str">
        <f aca="false">IF(M5="","",INDEX(Planes!$B$4:$B$6,MATCH(M5,Planes!$A$4:$A$6,0)))</f>
        <v/>
      </c>
      <c r="O5" s="5" t="s">
        <v>23</v>
      </c>
      <c r="P5" s="5"/>
      <c r="Q5" s="4" t="str">
        <f aca="false">HYPERLINK("https://www.informacolombia.com/directorio-empresas/informacion-empresa/collazos-sabores-tradicion-sas","Ver ficha")</f>
        <v>Ver ficha</v>
      </c>
    </row>
    <row r="6" customFormat="false" ht="15" hidden="false" customHeight="false" outlineLevel="0" collapsed="false">
      <c r="A6" s="2" t="n">
        <v>5</v>
      </c>
      <c r="B6" s="2" t="s">
        <v>33</v>
      </c>
      <c r="C6" s="2" t="s">
        <v>18</v>
      </c>
      <c r="D6" s="2"/>
      <c r="E6" s="2" t="s">
        <v>34</v>
      </c>
      <c r="F6" s="3" t="s">
        <v>35</v>
      </c>
      <c r="G6" s="2" t="str">
        <f aca="false">IF(LEFT(F6,1)="3","Celular","Fijo")</f>
        <v>Celular</v>
      </c>
      <c r="H6" s="4" t="str">
        <f aca="false">IF(G6="Celular",HYPERLINK("https://wa.me/57"&amp;F6,"Abrir chat"),"")</f>
        <v>Abrir chat</v>
      </c>
      <c r="I6" s="2" t="s">
        <v>36</v>
      </c>
      <c r="J6" s="5" t="s">
        <v>22</v>
      </c>
      <c r="K6" s="6"/>
      <c r="L6" s="7" t="str">
        <f aca="false">IF(K6="","",K6+4)</f>
        <v/>
      </c>
      <c r="M6" s="5"/>
      <c r="N6" s="8" t="str">
        <f aca="false">IF(M6="","",INDEX(Planes!$B$4:$B$6,MATCH(M6,Planes!$A$4:$A$6,0)))</f>
        <v/>
      </c>
      <c r="O6" s="5" t="s">
        <v>23</v>
      </c>
      <c r="P6" s="5"/>
      <c r="Q6" s="4" t="str">
        <f aca="false">HYPERLINK("https://directorio-empresas.einforma.co/informacion-empresa/dkche-servicios-alimenticios-sas","Ver ficha")</f>
        <v>Ver ficha</v>
      </c>
    </row>
    <row r="7" customFormat="false" ht="15" hidden="false" customHeight="false" outlineLevel="0" collapsed="false">
      <c r="A7" s="2" t="n">
        <v>6</v>
      </c>
      <c r="B7" s="2" t="s">
        <v>37</v>
      </c>
      <c r="C7" s="2" t="s">
        <v>18</v>
      </c>
      <c r="D7" s="2"/>
      <c r="E7" s="2" t="s">
        <v>34</v>
      </c>
      <c r="F7" s="3" t="s">
        <v>38</v>
      </c>
      <c r="G7" s="2" t="str">
        <f aca="false">IF(LEFT(F7,1)="3","Celular","Fijo")</f>
        <v>Celular</v>
      </c>
      <c r="H7" s="4" t="str">
        <f aca="false">IF(G7="Celular",HYPERLINK("https://wa.me/57"&amp;F7,"Abrir chat"),"")</f>
        <v>Abrir chat</v>
      </c>
      <c r="I7" s="2" t="s">
        <v>39</v>
      </c>
      <c r="J7" s="5" t="s">
        <v>22</v>
      </c>
      <c r="K7" s="6"/>
      <c r="L7" s="7" t="str">
        <f aca="false">IF(K7="","",K7+4)</f>
        <v/>
      </c>
      <c r="M7" s="5"/>
      <c r="N7" s="8" t="str">
        <f aca="false">IF(M7="","",INDEX(Planes!$B$4:$B$6,MATCH(M7,Planes!$A$4:$A$6,0)))</f>
        <v/>
      </c>
      <c r="O7" s="5" t="s">
        <v>23</v>
      </c>
      <c r="P7" s="5"/>
      <c r="Q7" s="4" t="str">
        <f aca="false">HYPERLINK("https://www.informacolombia.com/directorio-empresas/informacion-empresa/eatsy-sas","Ver ficha")</f>
        <v>Ver ficha</v>
      </c>
    </row>
    <row r="8" customFormat="false" ht="15" hidden="false" customHeight="false" outlineLevel="0" collapsed="false">
      <c r="A8" s="2" t="n">
        <v>7</v>
      </c>
      <c r="B8" s="2" t="s">
        <v>40</v>
      </c>
      <c r="C8" s="2" t="s">
        <v>18</v>
      </c>
      <c r="D8" s="2"/>
      <c r="E8" s="2" t="s">
        <v>41</v>
      </c>
      <c r="F8" s="3" t="s">
        <v>42</v>
      </c>
      <c r="G8" s="2" t="str">
        <f aca="false">IF(LEFT(F8,1)="3","Celular","Fijo")</f>
        <v>Celular</v>
      </c>
      <c r="H8" s="4" t="str">
        <f aca="false">IF(G8="Celular",HYPERLINK("https://wa.me/57"&amp;F8,"Abrir chat"),"")</f>
        <v>Abrir chat</v>
      </c>
      <c r="I8" s="2" t="s">
        <v>43</v>
      </c>
      <c r="J8" s="5" t="s">
        <v>22</v>
      </c>
      <c r="K8" s="6"/>
      <c r="L8" s="7" t="str">
        <f aca="false">IF(K8="","",K8+4)</f>
        <v/>
      </c>
      <c r="M8" s="5"/>
      <c r="N8" s="8" t="str">
        <f aca="false">IF(M8="","",INDEX(Planes!$B$4:$B$6,MATCH(M8,Planes!$A$4:$A$6,0)))</f>
        <v/>
      </c>
      <c r="O8" s="5" t="s">
        <v>23</v>
      </c>
      <c r="P8" s="5"/>
      <c r="Q8" s="4" t="str">
        <f aca="false">HYPERLINK("https://directorio-empresas.einforma.co/informacion-empresa/gourmet-parrilla-sas","Ver ficha")</f>
        <v>Ver ficha</v>
      </c>
    </row>
    <row r="9" customFormat="false" ht="15" hidden="false" customHeight="false" outlineLevel="0" collapsed="false">
      <c r="A9" s="2" t="n">
        <v>8</v>
      </c>
      <c r="B9" s="2" t="s">
        <v>44</v>
      </c>
      <c r="C9" s="2" t="s">
        <v>18</v>
      </c>
      <c r="D9" s="2"/>
      <c r="E9" s="2" t="s">
        <v>45</v>
      </c>
      <c r="F9" s="3" t="s">
        <v>46</v>
      </c>
      <c r="G9" s="2" t="str">
        <f aca="false">IF(LEFT(F9,1)="3","Celular","Fijo")</f>
        <v>Fijo</v>
      </c>
      <c r="H9" s="4" t="str">
        <f aca="false">IF(G9="Celular",HYPERLINK("https://wa.me/57"&amp;F9,"Abrir chat"),"")</f>
        <v/>
      </c>
      <c r="I9" s="2" t="s">
        <v>39</v>
      </c>
      <c r="J9" s="5" t="s">
        <v>22</v>
      </c>
      <c r="K9" s="6"/>
      <c r="L9" s="7" t="str">
        <f aca="false">IF(K9="","",K9+4)</f>
        <v/>
      </c>
      <c r="M9" s="5"/>
      <c r="N9" s="8" t="str">
        <f aca="false">IF(M9="","",INDEX(Planes!$B$4:$B$6,MATCH(M9,Planes!$A$4:$A$6,0)))</f>
        <v/>
      </c>
      <c r="O9" s="5" t="s">
        <v>47</v>
      </c>
      <c r="P9" s="5"/>
      <c r="Q9" s="4" t="str">
        <f aca="false">HYPERLINK("https://www.informacolombia.com/directorio-empresas/informacion-empresa/inversiones-nancy-restrepo-sas","Ver ficha")</f>
        <v>Ver ficha</v>
      </c>
    </row>
    <row r="10" customFormat="false" ht="15" hidden="false" customHeight="false" outlineLevel="0" collapsed="false">
      <c r="A10" s="2" t="n">
        <v>9</v>
      </c>
      <c r="B10" s="2" t="s">
        <v>48</v>
      </c>
      <c r="C10" s="2" t="s">
        <v>18</v>
      </c>
      <c r="D10" s="2"/>
      <c r="E10" s="2" t="s">
        <v>49</v>
      </c>
      <c r="F10" s="3" t="s">
        <v>50</v>
      </c>
      <c r="G10" s="2" t="str">
        <f aca="false">IF(LEFT(F10,1)="3","Celular","Fijo")</f>
        <v>Celular</v>
      </c>
      <c r="H10" s="4" t="str">
        <f aca="false">IF(G10="Celular",HYPERLINK("https://wa.me/57"&amp;F10,"Abrir chat"),"")</f>
        <v>Abrir chat</v>
      </c>
      <c r="I10" s="2"/>
      <c r="J10" s="5" t="s">
        <v>22</v>
      </c>
      <c r="K10" s="6"/>
      <c r="L10" s="7" t="str">
        <f aca="false">IF(K10="","",K10+4)</f>
        <v/>
      </c>
      <c r="M10" s="5"/>
      <c r="N10" s="8" t="str">
        <f aca="false">IF(M10="","",INDEX(Planes!$B$4:$B$6,MATCH(M10,Planes!$A$4:$A$6,0)))</f>
        <v/>
      </c>
      <c r="O10" s="5" t="s">
        <v>23</v>
      </c>
      <c r="P10" s="5"/>
      <c r="Q10" s="4" t="str">
        <f aca="false">HYPERLINK("https://www.informacolombia.com/directorio-empresas/actividad/5611_EXPENDIO-A-LA-MESA-DE-COMIDAS-PREPARADAS/departamento_antioquia?qPg=18","Ver ficha")</f>
        <v>Ver ficha</v>
      </c>
    </row>
    <row r="11" customFormat="false" ht="15" hidden="false" customHeight="false" outlineLevel="0" collapsed="false">
      <c r="A11" s="2" t="n">
        <v>10</v>
      </c>
      <c r="B11" s="2" t="s">
        <v>51</v>
      </c>
      <c r="C11" s="2" t="s">
        <v>18</v>
      </c>
      <c r="D11" s="2"/>
      <c r="E11" s="2" t="s">
        <v>49</v>
      </c>
      <c r="F11" s="3" t="s">
        <v>52</v>
      </c>
      <c r="G11" s="2" t="str">
        <f aca="false">IF(LEFT(F11,1)="3","Celular","Fijo")</f>
        <v>Celular</v>
      </c>
      <c r="H11" s="4" t="str">
        <f aca="false">IF(G11="Celular",HYPERLINK("https://wa.me/57"&amp;F11,"Abrir chat"),"")</f>
        <v>Abrir chat</v>
      </c>
      <c r="I11" s="2"/>
      <c r="J11" s="5" t="s">
        <v>22</v>
      </c>
      <c r="K11" s="6"/>
      <c r="L11" s="7" t="str">
        <f aca="false">IF(K11="","",K11+4)</f>
        <v/>
      </c>
      <c r="M11" s="5"/>
      <c r="N11" s="8" t="str">
        <f aca="false">IF(M11="","",INDEX(Planes!$B$4:$B$6,MATCH(M11,Planes!$A$4:$A$6,0)))</f>
        <v/>
      </c>
      <c r="O11" s="5" t="s">
        <v>23</v>
      </c>
      <c r="P11" s="5"/>
      <c r="Q11" s="4" t="str">
        <f aca="false">HYPERLINK("https://www.informacolombia.com/directorio-empresas/actividad/5611_EXPENDIO-A-LA-MESA-DE-COMIDAS-PREPARADAS/departamento_antioquia?qPg=18","Ver ficha")</f>
        <v>Ver ficha</v>
      </c>
    </row>
    <row r="12" customFormat="false" ht="15" hidden="false" customHeight="false" outlineLevel="0" collapsed="false">
      <c r="A12" s="2" t="n">
        <v>11</v>
      </c>
      <c r="B12" s="2" t="s">
        <v>53</v>
      </c>
      <c r="C12" s="2" t="s">
        <v>18</v>
      </c>
      <c r="D12" s="2"/>
      <c r="E12" s="2" t="s">
        <v>54</v>
      </c>
      <c r="F12" s="3" t="s">
        <v>55</v>
      </c>
      <c r="G12" s="2" t="str">
        <f aca="false">IF(LEFT(F12,1)="3","Celular","Fijo")</f>
        <v>Fijo</v>
      </c>
      <c r="H12" s="4" t="str">
        <f aca="false">IF(G12="Celular",HYPERLINK("https://wa.me/57"&amp;F12,"Abrir chat"),"")</f>
        <v/>
      </c>
      <c r="I12" s="2" t="s">
        <v>56</v>
      </c>
      <c r="J12" s="5" t="s">
        <v>22</v>
      </c>
      <c r="K12" s="6"/>
      <c r="L12" s="7" t="str">
        <f aca="false">IF(K12="","",K12+4)</f>
        <v/>
      </c>
      <c r="M12" s="5"/>
      <c r="N12" s="8" t="str">
        <f aca="false">IF(M12="","",INDEX(Planes!$B$4:$B$6,MATCH(M12,Planes!$A$4:$A$6,0)))</f>
        <v/>
      </c>
      <c r="O12" s="5" t="s">
        <v>47</v>
      </c>
      <c r="P12" s="5"/>
      <c r="Q12" s="4" t="str">
        <f aca="false">HYPERLINK("https://www.informacolombia.com/directorio-empresas/informacion-empresa/mi-lechoncito-restaurante-bar-sas","Ver ficha")</f>
        <v>Ver ficha</v>
      </c>
    </row>
    <row r="13" customFormat="false" ht="15" hidden="false" customHeight="false" outlineLevel="0" collapsed="false">
      <c r="A13" s="2" t="n">
        <v>12</v>
      </c>
      <c r="B13" s="2" t="s">
        <v>57</v>
      </c>
      <c r="C13" s="2" t="s">
        <v>18</v>
      </c>
      <c r="D13" s="2"/>
      <c r="E13" s="2" t="s">
        <v>19</v>
      </c>
      <c r="F13" s="3" t="s">
        <v>58</v>
      </c>
      <c r="G13" s="2" t="str">
        <f aca="false">IF(LEFT(F13,1)="3","Celular","Fijo")</f>
        <v>Celular</v>
      </c>
      <c r="H13" s="4" t="str">
        <f aca="false">IF(G13="Celular",HYPERLINK("https://wa.me/57"&amp;F13,"Abrir chat"),"")</f>
        <v>Abrir chat</v>
      </c>
      <c r="I13" s="2" t="s">
        <v>59</v>
      </c>
      <c r="J13" s="5" t="s">
        <v>22</v>
      </c>
      <c r="K13" s="6"/>
      <c r="L13" s="7" t="str">
        <f aca="false">IF(K13="","",K13+4)</f>
        <v/>
      </c>
      <c r="M13" s="5"/>
      <c r="N13" s="8" t="str">
        <f aca="false">IF(M13="","",INDEX(Planes!$B$4:$B$6,MATCH(M13,Planes!$A$4:$A$6,0)))</f>
        <v/>
      </c>
      <c r="O13" s="5" t="s">
        <v>23</v>
      </c>
      <c r="P13" s="5"/>
      <c r="Q13" s="4" t="str">
        <f aca="false">HYPERLINK("https://www.informacolombia.com/directorio-empresas/informacion-empresa/que-alitas-sas","Ver ficha")</f>
        <v>Ver ficha</v>
      </c>
    </row>
    <row r="14" customFormat="false" ht="15" hidden="false" customHeight="false" outlineLevel="0" collapsed="false">
      <c r="A14" s="2" t="n">
        <v>13</v>
      </c>
      <c r="B14" s="2" t="s">
        <v>60</v>
      </c>
      <c r="C14" s="2" t="s">
        <v>18</v>
      </c>
      <c r="D14" s="2"/>
      <c r="E14" s="2" t="s">
        <v>1</v>
      </c>
      <c r="F14" s="3" t="s">
        <v>61</v>
      </c>
      <c r="G14" s="2" t="str">
        <f aca="false">IF(LEFT(F14,1)="3","Celular","Fijo")</f>
        <v>Fijo</v>
      </c>
      <c r="H14" s="4" t="str">
        <f aca="false">IF(G14="Celular",HYPERLINK("https://wa.me/57"&amp;F14,"Abrir chat"),"")</f>
        <v/>
      </c>
      <c r="I14" s="2" t="s">
        <v>62</v>
      </c>
      <c r="J14" s="5" t="s">
        <v>22</v>
      </c>
      <c r="K14" s="6"/>
      <c r="L14" s="7" t="str">
        <f aca="false">IF(K14="","",K14+4)</f>
        <v/>
      </c>
      <c r="M14" s="5"/>
      <c r="N14" s="8" t="str">
        <f aca="false">IF(M14="","",INDEX(Planes!$B$4:$B$6,MATCH(M14,Planes!$A$4:$A$6,0)))</f>
        <v/>
      </c>
      <c r="O14" s="5" t="s">
        <v>47</v>
      </c>
      <c r="P14" s="5"/>
      <c r="Q14" s="4" t="str">
        <f aca="false">HYPERLINK("https://www.informacolombia.com/directorio-empresas/informacion-empresa/raices-sabor-vida-sas","Ver ficha")</f>
        <v>Ver ficha</v>
      </c>
    </row>
    <row r="15" customFormat="false" ht="15" hidden="false" customHeight="false" outlineLevel="0" collapsed="false">
      <c r="A15" s="2" t="n">
        <v>14</v>
      </c>
      <c r="B15" s="2" t="s">
        <v>63</v>
      </c>
      <c r="C15" s="2" t="s">
        <v>18</v>
      </c>
      <c r="D15" s="2"/>
      <c r="E15" s="2" t="s">
        <v>54</v>
      </c>
      <c r="F15" s="3" t="s">
        <v>64</v>
      </c>
      <c r="G15" s="2" t="str">
        <f aca="false">IF(LEFT(F15,1)="3","Celular","Fijo")</f>
        <v>Celular</v>
      </c>
      <c r="H15" s="4" t="str">
        <f aca="false">IF(G15="Celular",HYPERLINK("https://wa.me/57"&amp;F15,"Abrir chat"),"")</f>
        <v>Abrir chat</v>
      </c>
      <c r="I15" s="2" t="s">
        <v>65</v>
      </c>
      <c r="J15" s="5" t="s">
        <v>22</v>
      </c>
      <c r="K15" s="6"/>
      <c r="L15" s="7" t="str">
        <f aca="false">IF(K15="","",K15+4)</f>
        <v/>
      </c>
      <c r="M15" s="5"/>
      <c r="N15" s="8" t="str">
        <f aca="false">IF(M15="","",INDEX(Planes!$B$4:$B$6,MATCH(M15,Planes!$A$4:$A$6,0)))</f>
        <v/>
      </c>
      <c r="O15" s="5" t="s">
        <v>23</v>
      </c>
      <c r="P15" s="5"/>
      <c r="Q15" s="4" t="str">
        <f aca="false">HYPERLINK("https://directorio-empresas.einforma.co/informacion-empresa/restaurante-bar-mula-paisa-sas","Ver ficha")</f>
        <v>Ver ficha</v>
      </c>
    </row>
    <row r="16" customFormat="false" ht="15" hidden="false" customHeight="false" outlineLevel="0" collapsed="false">
      <c r="A16" s="2" t="n">
        <v>15</v>
      </c>
      <c r="B16" s="2" t="s">
        <v>66</v>
      </c>
      <c r="C16" s="2" t="s">
        <v>18</v>
      </c>
      <c r="D16" s="2"/>
      <c r="E16" s="2" t="s">
        <v>1</v>
      </c>
      <c r="F16" s="3" t="s">
        <v>67</v>
      </c>
      <c r="G16" s="2" t="str">
        <f aca="false">IF(LEFT(F16,1)="3","Celular","Fijo")</f>
        <v>Fijo</v>
      </c>
      <c r="H16" s="4" t="str">
        <f aca="false">IF(G16="Celular",HYPERLINK("https://wa.me/57"&amp;F16,"Abrir chat"),"")</f>
        <v/>
      </c>
      <c r="I16" s="2" t="s">
        <v>68</v>
      </c>
      <c r="J16" s="5" t="s">
        <v>22</v>
      </c>
      <c r="K16" s="6"/>
      <c r="L16" s="7" t="str">
        <f aca="false">IF(K16="","",K16+4)</f>
        <v/>
      </c>
      <c r="M16" s="5"/>
      <c r="N16" s="8" t="str">
        <f aca="false">IF(M16="","",INDEX(Planes!$B$4:$B$6,MATCH(M16,Planes!$A$4:$A$6,0)))</f>
        <v/>
      </c>
      <c r="O16" s="5" t="s">
        <v>47</v>
      </c>
      <c r="P16" s="5"/>
      <c r="Q16" s="4" t="str">
        <f aca="false">HYPERLINK("https://www.informacolombia.com/directorio-empresas/informacion-empresa/restaurante-rancho-grande-bello-sas","Ver ficha")</f>
        <v>Ver ficha</v>
      </c>
    </row>
    <row r="17" customFormat="false" ht="15" hidden="false" customHeight="false" outlineLevel="0" collapsed="false">
      <c r="A17" s="2" t="n">
        <v>16</v>
      </c>
      <c r="B17" s="2" t="s">
        <v>69</v>
      </c>
      <c r="C17" s="2" t="s">
        <v>18</v>
      </c>
      <c r="D17" s="2"/>
      <c r="E17" s="2" t="s">
        <v>70</v>
      </c>
      <c r="F17" s="3" t="s">
        <v>71</v>
      </c>
      <c r="G17" s="2" t="str">
        <f aca="false">IF(LEFT(F17,1)="3","Celular","Fijo")</f>
        <v>Celular</v>
      </c>
      <c r="H17" s="4" t="str">
        <f aca="false">IF(G17="Celular",HYPERLINK("https://wa.me/57"&amp;F17,"Abrir chat"),"")</f>
        <v>Abrir chat</v>
      </c>
      <c r="I17" s="2" t="s">
        <v>72</v>
      </c>
      <c r="J17" s="5" t="s">
        <v>22</v>
      </c>
      <c r="K17" s="6"/>
      <c r="L17" s="7" t="str">
        <f aca="false">IF(K17="","",K17+4)</f>
        <v/>
      </c>
      <c r="M17" s="5"/>
      <c r="N17" s="8" t="str">
        <f aca="false">IF(M17="","",INDEX(Planes!$B$4:$B$6,MATCH(M17,Planes!$A$4:$A$6,0)))</f>
        <v/>
      </c>
      <c r="O17" s="5" t="s">
        <v>23</v>
      </c>
      <c r="P17" s="5"/>
      <c r="Q17" s="4" t="str">
        <f aca="false">HYPERLINK("https://www.informacolombia.com/directorio-empresas/informacion-empresa/san-pio-food-sas","Ver ficha")</f>
        <v>Ver ficha</v>
      </c>
    </row>
    <row r="18" customFormat="false" ht="15" hidden="false" customHeight="false" outlineLevel="0" collapsed="false">
      <c r="A18" s="2" t="n">
        <v>17</v>
      </c>
      <c r="B18" s="2" t="s">
        <v>73</v>
      </c>
      <c r="C18" s="2" t="s">
        <v>18</v>
      </c>
      <c r="D18" s="2"/>
      <c r="E18" s="2" t="s">
        <v>74</v>
      </c>
      <c r="F18" s="3" t="s">
        <v>75</v>
      </c>
      <c r="G18" s="2" t="str">
        <f aca="false">IF(LEFT(F18,1)="3","Celular","Fijo")</f>
        <v>Celular</v>
      </c>
      <c r="H18" s="4" t="str">
        <f aca="false">IF(G18="Celular",HYPERLINK("https://wa.me/57"&amp;F18,"Abrir chat"),"")</f>
        <v>Abrir chat</v>
      </c>
      <c r="I18" s="2"/>
      <c r="J18" s="5" t="s">
        <v>22</v>
      </c>
      <c r="K18" s="6"/>
      <c r="L18" s="7" t="str">
        <f aca="false">IF(K18="","",K18+4)</f>
        <v/>
      </c>
      <c r="M18" s="5"/>
      <c r="N18" s="8" t="str">
        <f aca="false">IF(M18="","",INDEX(Planes!$B$4:$B$6,MATCH(M18,Planes!$A$4:$A$6,0)))</f>
        <v/>
      </c>
      <c r="O18" s="5" t="s">
        <v>23</v>
      </c>
      <c r="P18" s="5"/>
      <c r="Q18" s="4" t="str">
        <f aca="false">HYPERLINK("https://www.informacolombia.com/directorio-empresas/actividad/560_ACTIVIDADES-DE-SERVICIOS-DE-COMIDAS-Y-BEBIDAS/localidad_bello?qPg=2","Ver ficha")</f>
        <v>Ver ficha</v>
      </c>
    </row>
    <row r="19" customFormat="false" ht="15" hidden="false" customHeight="false" outlineLevel="0" collapsed="false">
      <c r="A19" s="2" t="n">
        <v>18</v>
      </c>
      <c r="B19" s="2" t="s">
        <v>76</v>
      </c>
      <c r="C19" s="2" t="s">
        <v>77</v>
      </c>
      <c r="D19" s="2" t="s">
        <v>78</v>
      </c>
      <c r="E19" s="2" t="s">
        <v>1</v>
      </c>
      <c r="F19" s="3" t="s">
        <v>79</v>
      </c>
      <c r="G19" s="2" t="str">
        <f aca="false">IF(LEFT(F19,1)="3","Celular","Fijo")</f>
        <v>Fijo</v>
      </c>
      <c r="H19" s="4" t="str">
        <f aca="false">IF(G19="Celular",HYPERLINK("https://wa.me/57"&amp;F19,"Abrir chat"),"")</f>
        <v/>
      </c>
      <c r="I19" s="2" t="s">
        <v>80</v>
      </c>
      <c r="J19" s="5" t="s">
        <v>22</v>
      </c>
      <c r="K19" s="6"/>
      <c r="L19" s="7" t="str">
        <f aca="false">IF(K19="","",K19+4)</f>
        <v/>
      </c>
      <c r="M19" s="5"/>
      <c r="N19" s="8" t="str">
        <f aca="false">IF(M19="","",INDEX(Planes!$B$4:$B$6,MATCH(M19,Planes!$A$4:$A$6,0)))</f>
        <v/>
      </c>
      <c r="O19" s="5" t="s">
        <v>47</v>
      </c>
      <c r="P19" s="5"/>
      <c r="Q19" s="4" t="str">
        <f aca="false">HYPERLINK("https://www.informacolombia.com/directorio-empresas/informacion-empresa/afm-sas","Ver ficha")</f>
        <v>Ver ficha</v>
      </c>
    </row>
    <row r="20" customFormat="false" ht="15" hidden="false" customHeight="false" outlineLevel="0" collapsed="false">
      <c r="A20" s="2" t="n">
        <v>19</v>
      </c>
      <c r="B20" s="2" t="s">
        <v>81</v>
      </c>
      <c r="C20" s="2" t="s">
        <v>77</v>
      </c>
      <c r="D20" s="2" t="s">
        <v>78</v>
      </c>
      <c r="E20" s="2" t="s">
        <v>1</v>
      </c>
      <c r="F20" s="3" t="s">
        <v>82</v>
      </c>
      <c r="G20" s="2" t="str">
        <f aca="false">IF(LEFT(F20,1)="3","Celular","Fijo")</f>
        <v>Fijo</v>
      </c>
      <c r="H20" s="4" t="str">
        <f aca="false">IF(G20="Celular",HYPERLINK("https://wa.me/57"&amp;F20,"Abrir chat"),"")</f>
        <v/>
      </c>
      <c r="I20" s="2" t="s">
        <v>83</v>
      </c>
      <c r="J20" s="5" t="s">
        <v>22</v>
      </c>
      <c r="K20" s="6"/>
      <c r="L20" s="7" t="str">
        <f aca="false">IF(K20="","",K20+4)</f>
        <v/>
      </c>
      <c r="M20" s="5"/>
      <c r="N20" s="8" t="str">
        <f aca="false">IF(M20="","",INDEX(Planes!$B$4:$B$6,MATCH(M20,Planes!$A$4:$A$6,0)))</f>
        <v/>
      </c>
      <c r="O20" s="5" t="s">
        <v>47</v>
      </c>
      <c r="P20" s="5"/>
      <c r="Q20" s="4" t="str">
        <f aca="false">HYPERLINK("https://www.informacolombia.com/directorio-empresas/informacion-empresa/alambique-medellin-sas","Ver ficha")</f>
        <v>Ver ficha</v>
      </c>
    </row>
    <row r="21" customFormat="false" ht="15" hidden="false" customHeight="false" outlineLevel="0" collapsed="false">
      <c r="A21" s="2" t="n">
        <v>20</v>
      </c>
      <c r="B21" s="2" t="s">
        <v>84</v>
      </c>
      <c r="C21" s="2" t="s">
        <v>77</v>
      </c>
      <c r="D21" s="2"/>
      <c r="E21" s="2" t="s">
        <v>1</v>
      </c>
      <c r="F21" s="3" t="s">
        <v>85</v>
      </c>
      <c r="G21" s="2" t="str">
        <f aca="false">IF(LEFT(F21,1)="3","Celular","Fijo")</f>
        <v>Fijo</v>
      </c>
      <c r="H21" s="4" t="str">
        <f aca="false">IF(G21="Celular",HYPERLINK("https://wa.me/57"&amp;F21,"Abrir chat"),"")</f>
        <v/>
      </c>
      <c r="I21" s="2" t="s">
        <v>86</v>
      </c>
      <c r="J21" s="5" t="s">
        <v>22</v>
      </c>
      <c r="K21" s="6"/>
      <c r="L21" s="7" t="str">
        <f aca="false">IF(K21="","",K21+4)</f>
        <v/>
      </c>
      <c r="M21" s="5"/>
      <c r="N21" s="8" t="str">
        <f aca="false">IF(M21="","",INDEX(Planes!$B$4:$B$6,MATCH(M21,Planes!$A$4:$A$6,0)))</f>
        <v/>
      </c>
      <c r="O21" s="5" t="s">
        <v>47</v>
      </c>
      <c r="P21" s="5"/>
      <c r="Q21" s="4" t="str">
        <f aca="false">HYPERLINK("https://directorio-empresas.einforma.co/informacion-empresa/albenzu-sas","Ver ficha")</f>
        <v>Ver ficha</v>
      </c>
    </row>
    <row r="22" customFormat="false" ht="15" hidden="false" customHeight="false" outlineLevel="0" collapsed="false">
      <c r="A22" s="2" t="n">
        <v>21</v>
      </c>
      <c r="B22" s="2" t="s">
        <v>87</v>
      </c>
      <c r="C22" s="2" t="s">
        <v>77</v>
      </c>
      <c r="D22" s="2" t="s">
        <v>88</v>
      </c>
      <c r="E22" s="2" t="s">
        <v>54</v>
      </c>
      <c r="F22" s="3" t="s">
        <v>89</v>
      </c>
      <c r="G22" s="2" t="str">
        <f aca="false">IF(LEFT(F22,1)="3","Celular","Fijo")</f>
        <v>Celular</v>
      </c>
      <c r="H22" s="4" t="str">
        <f aca="false">IF(G22="Celular",HYPERLINK("https://wa.me/57"&amp;F22,"Abrir chat"),"")</f>
        <v>Abrir chat</v>
      </c>
      <c r="I22" s="2" t="s">
        <v>90</v>
      </c>
      <c r="J22" s="5" t="s">
        <v>22</v>
      </c>
      <c r="K22" s="6"/>
      <c r="L22" s="7" t="str">
        <f aca="false">IF(K22="","",K22+4)</f>
        <v/>
      </c>
      <c r="M22" s="5"/>
      <c r="N22" s="8" t="str">
        <f aca="false">IF(M22="","",INDEX(Planes!$B$4:$B$6,MATCH(M22,Planes!$A$4:$A$6,0)))</f>
        <v/>
      </c>
      <c r="O22" s="5" t="s">
        <v>23</v>
      </c>
      <c r="P22" s="5"/>
      <c r="Q22" s="4" t="str">
        <f aca="false">HYPERLINK("https://www.informacolombia.com/directorio-empresas/informacion-empresa/ammazza-laureles-sas","Ver ficha")</f>
        <v>Ver ficha</v>
      </c>
    </row>
    <row r="23" customFormat="false" ht="15" hidden="false" customHeight="false" outlineLevel="0" collapsed="false">
      <c r="A23" s="2" t="n">
        <v>22</v>
      </c>
      <c r="B23" s="2" t="s">
        <v>91</v>
      </c>
      <c r="C23" s="2" t="s">
        <v>77</v>
      </c>
      <c r="D23" s="2"/>
      <c r="E23" s="2" t="s">
        <v>92</v>
      </c>
      <c r="F23" s="3" t="s">
        <v>93</v>
      </c>
      <c r="G23" s="2" t="str">
        <f aca="false">IF(LEFT(F23,1)="3","Celular","Fijo")</f>
        <v>Celular</v>
      </c>
      <c r="H23" s="4" t="str">
        <f aca="false">IF(G23="Celular",HYPERLINK("https://wa.me/57"&amp;F23,"Abrir chat"),"")</f>
        <v>Abrir chat</v>
      </c>
      <c r="I23" s="2" t="s">
        <v>94</v>
      </c>
      <c r="J23" s="5" t="s">
        <v>22</v>
      </c>
      <c r="K23" s="6"/>
      <c r="L23" s="7" t="str">
        <f aca="false">IF(K23="","",K23+4)</f>
        <v/>
      </c>
      <c r="M23" s="5"/>
      <c r="N23" s="8" t="str">
        <f aca="false">IF(M23="","",INDEX(Planes!$B$4:$B$6,MATCH(M23,Planes!$A$4:$A$6,0)))</f>
        <v/>
      </c>
      <c r="O23" s="5" t="s">
        <v>23</v>
      </c>
      <c r="P23" s="5"/>
      <c r="Q23" s="4" t="str">
        <f aca="false">HYPERLINK("https://www.informacolombia.com/directorio-empresas/informacion-empresa/apetentes-sas","Ver ficha")</f>
        <v>Ver ficha</v>
      </c>
    </row>
    <row r="24" customFormat="false" ht="15" hidden="false" customHeight="false" outlineLevel="0" collapsed="false">
      <c r="A24" s="2" t="n">
        <v>23</v>
      </c>
      <c r="B24" s="2" t="s">
        <v>95</v>
      </c>
      <c r="C24" s="2" t="s">
        <v>77</v>
      </c>
      <c r="D24" s="2"/>
      <c r="E24" s="2" t="s">
        <v>96</v>
      </c>
      <c r="F24" s="3" t="s">
        <v>97</v>
      </c>
      <c r="G24" s="2" t="str">
        <f aca="false">IF(LEFT(F24,1)="3","Celular","Fijo")</f>
        <v>Fijo</v>
      </c>
      <c r="H24" s="4" t="str">
        <f aca="false">IF(G24="Celular",HYPERLINK("https://wa.me/57"&amp;F24,"Abrir chat"),"")</f>
        <v/>
      </c>
      <c r="I24" s="2" t="s">
        <v>98</v>
      </c>
      <c r="J24" s="5" t="s">
        <v>22</v>
      </c>
      <c r="K24" s="6"/>
      <c r="L24" s="7" t="str">
        <f aca="false">IF(K24="","",K24+4)</f>
        <v/>
      </c>
      <c r="M24" s="5"/>
      <c r="N24" s="8" t="str">
        <f aca="false">IF(M24="","",INDEX(Planes!$B$4:$B$6,MATCH(M24,Planes!$A$4:$A$6,0)))</f>
        <v/>
      </c>
      <c r="O24" s="5" t="s">
        <v>47</v>
      </c>
      <c r="P24" s="5"/>
      <c r="Q24" s="4" t="str">
        <f aca="false">HYPERLINK("https://directorio-empresas.einforma.co/informacion-empresa/arepas-fogon-paisa-sas","Ver ficha")</f>
        <v>Ver ficha</v>
      </c>
    </row>
    <row r="25" customFormat="false" ht="15" hidden="false" customHeight="false" outlineLevel="0" collapsed="false">
      <c r="A25" s="2" t="n">
        <v>24</v>
      </c>
      <c r="B25" s="2" t="s">
        <v>99</v>
      </c>
      <c r="C25" s="2" t="s">
        <v>77</v>
      </c>
      <c r="D25" s="2"/>
      <c r="E25" s="2" t="s">
        <v>96</v>
      </c>
      <c r="F25" s="3" t="s">
        <v>100</v>
      </c>
      <c r="G25" s="2" t="str">
        <f aca="false">IF(LEFT(F25,1)="3","Celular","Fijo")</f>
        <v>Celular</v>
      </c>
      <c r="H25" s="4" t="str">
        <f aca="false">IF(G25="Celular",HYPERLINK("https://wa.me/57"&amp;F25,"Abrir chat"),"")</f>
        <v>Abrir chat</v>
      </c>
      <c r="I25" s="2" t="s">
        <v>101</v>
      </c>
      <c r="J25" s="5" t="s">
        <v>22</v>
      </c>
      <c r="K25" s="6"/>
      <c r="L25" s="7" t="str">
        <f aca="false">IF(K25="","",K25+4)</f>
        <v/>
      </c>
      <c r="M25" s="5"/>
      <c r="N25" s="8" t="str">
        <f aca="false">IF(M25="","",INDEX(Planes!$B$4:$B$6,MATCH(M25,Planes!$A$4:$A$6,0)))</f>
        <v/>
      </c>
      <c r="O25" s="5" t="s">
        <v>23</v>
      </c>
      <c r="P25" s="5"/>
      <c r="Q25" s="4" t="str">
        <f aca="false">HYPERLINK("https://directorio-empresas.einforma.co/informacion-empresa/arepas-chachas-sas","Ver ficha")</f>
        <v>Ver ficha</v>
      </c>
    </row>
    <row r="26" customFormat="false" ht="15" hidden="false" customHeight="false" outlineLevel="0" collapsed="false">
      <c r="A26" s="2" t="n">
        <v>25</v>
      </c>
      <c r="B26" s="2" t="s">
        <v>102</v>
      </c>
      <c r="C26" s="2" t="s">
        <v>77</v>
      </c>
      <c r="D26" s="2" t="s">
        <v>103</v>
      </c>
      <c r="E26" s="2" t="s">
        <v>104</v>
      </c>
      <c r="F26" s="3" t="s">
        <v>105</v>
      </c>
      <c r="G26" s="2" t="str">
        <f aca="false">IF(LEFT(F26,1)="3","Celular","Fijo")</f>
        <v>Celular</v>
      </c>
      <c r="H26" s="4" t="str">
        <f aca="false">IF(G26="Celular",HYPERLINK("https://wa.me/57"&amp;F26,"Abrir chat"),"")</f>
        <v>Abrir chat</v>
      </c>
      <c r="I26" s="2" t="s">
        <v>106</v>
      </c>
      <c r="J26" s="5" t="s">
        <v>22</v>
      </c>
      <c r="K26" s="6"/>
      <c r="L26" s="7" t="str">
        <f aca="false">IF(K26="","",K26+4)</f>
        <v/>
      </c>
      <c r="M26" s="5"/>
      <c r="N26" s="8" t="str">
        <f aca="false">IF(M26="","",INDEX(Planes!$B$4:$B$6,MATCH(M26,Planes!$A$4:$A$6,0)))</f>
        <v/>
      </c>
      <c r="O26" s="5" t="s">
        <v>23</v>
      </c>
      <c r="P26" s="5"/>
      <c r="Q26" s="4" t="str">
        <f aca="false">HYPERLINK("https://directorio-empresas.einforma.co/informacion-empresa/asados-tipicos-carbon-sas","Ver ficha")</f>
        <v>Ver ficha</v>
      </c>
    </row>
    <row r="27" customFormat="false" ht="15" hidden="false" customHeight="false" outlineLevel="0" collapsed="false">
      <c r="A27" s="2" t="n">
        <v>26</v>
      </c>
      <c r="B27" s="2" t="s">
        <v>107</v>
      </c>
      <c r="C27" s="2" t="s">
        <v>77</v>
      </c>
      <c r="D27" s="2" t="s">
        <v>78</v>
      </c>
      <c r="E27" s="2" t="s">
        <v>108</v>
      </c>
      <c r="F27" s="3" t="s">
        <v>109</v>
      </c>
      <c r="G27" s="2" t="str">
        <f aca="false">IF(LEFT(F27,1)="3","Celular","Fijo")</f>
        <v>Celular</v>
      </c>
      <c r="H27" s="4" t="str">
        <f aca="false">IF(G27="Celular",HYPERLINK("https://wa.me/57"&amp;F27,"Abrir chat"),"")</f>
        <v>Abrir chat</v>
      </c>
      <c r="I27" s="2" t="s">
        <v>110</v>
      </c>
      <c r="J27" s="5" t="s">
        <v>22</v>
      </c>
      <c r="K27" s="6"/>
      <c r="L27" s="7" t="str">
        <f aca="false">IF(K27="","",K27+4)</f>
        <v/>
      </c>
      <c r="M27" s="5"/>
      <c r="N27" s="8" t="str">
        <f aca="false">IF(M27="","",INDEX(Planes!$B$4:$B$6,MATCH(M27,Planes!$A$4:$A$6,0)))</f>
        <v/>
      </c>
      <c r="O27" s="5" t="s">
        <v>23</v>
      </c>
      <c r="P27" s="5"/>
      <c r="Q27" s="4" t="str">
        <f aca="false">HYPERLINK("https://directorio-empresas.einforma.co/informacion-empresa/atlantico-peruano-sas","Ver ficha")</f>
        <v>Ver ficha</v>
      </c>
    </row>
    <row r="28" customFormat="false" ht="15" hidden="false" customHeight="false" outlineLevel="0" collapsed="false">
      <c r="A28" s="2" t="n">
        <v>27</v>
      </c>
      <c r="B28" s="2" t="s">
        <v>111</v>
      </c>
      <c r="C28" s="2" t="s">
        <v>77</v>
      </c>
      <c r="D28" s="2"/>
      <c r="E28" s="2" t="s">
        <v>112</v>
      </c>
      <c r="F28" s="3" t="s">
        <v>113</v>
      </c>
      <c r="G28" s="2" t="str">
        <f aca="false">IF(LEFT(F28,1)="3","Celular","Fijo")</f>
        <v>Celular</v>
      </c>
      <c r="H28" s="4" t="str">
        <f aca="false">IF(G28="Celular",HYPERLINK("https://wa.me/57"&amp;F28,"Abrir chat"),"")</f>
        <v>Abrir chat</v>
      </c>
      <c r="I28" s="2"/>
      <c r="J28" s="5" t="s">
        <v>22</v>
      </c>
      <c r="K28" s="6"/>
      <c r="L28" s="7" t="str">
        <f aca="false">IF(K28="","",K28+4)</f>
        <v/>
      </c>
      <c r="M28" s="5"/>
      <c r="N28" s="8" t="str">
        <f aca="false">IF(M28="","",INDEX(Planes!$B$4:$B$6,MATCH(M28,Planes!$A$4:$A$6,0)))</f>
        <v/>
      </c>
      <c r="O28" s="5" t="s">
        <v>23</v>
      </c>
      <c r="P28" s="5"/>
      <c r="Q28" s="4" t="str">
        <f aca="false">HYPERLINK("https://directorio-empresas.einforma.co/informacion-empresa/atlantico-peruano-sas","Ver ficha")</f>
        <v>Ver ficha</v>
      </c>
    </row>
    <row r="29" customFormat="false" ht="15" hidden="false" customHeight="false" outlineLevel="0" collapsed="false">
      <c r="A29" s="2" t="n">
        <v>28</v>
      </c>
      <c r="B29" s="2" t="s">
        <v>114</v>
      </c>
      <c r="C29" s="2" t="s">
        <v>77</v>
      </c>
      <c r="D29" s="2" t="s">
        <v>115</v>
      </c>
      <c r="E29" s="2" t="s">
        <v>116</v>
      </c>
      <c r="F29" s="3" t="s">
        <v>117</v>
      </c>
      <c r="G29" s="2" t="str">
        <f aca="false">IF(LEFT(F29,1)="3","Celular","Fijo")</f>
        <v>Celular</v>
      </c>
      <c r="H29" s="4" t="str">
        <f aca="false">IF(G29="Celular",HYPERLINK("https://wa.me/57"&amp;F29,"Abrir chat"),"")</f>
        <v>Abrir chat</v>
      </c>
      <c r="I29" s="2"/>
      <c r="J29" s="5" t="s">
        <v>22</v>
      </c>
      <c r="K29" s="6"/>
      <c r="L29" s="7" t="str">
        <f aca="false">IF(K29="","",K29+4)</f>
        <v/>
      </c>
      <c r="M29" s="5"/>
      <c r="N29" s="8" t="str">
        <f aca="false">IF(M29="","",INDEX(Planes!$B$4:$B$6,MATCH(M29,Planes!$A$4:$A$6,0)))</f>
        <v/>
      </c>
      <c r="O29" s="5" t="s">
        <v>23</v>
      </c>
      <c r="P29" s="5"/>
      <c r="Q29" s="4" t="str">
        <f aca="false">HYPERLINK("https://medellinguru.com/?p=24707","Ver ficha")</f>
        <v>Ver ficha</v>
      </c>
    </row>
    <row r="30" customFormat="false" ht="15" hidden="false" customHeight="false" outlineLevel="0" collapsed="false">
      <c r="A30" s="2" t="n">
        <v>29</v>
      </c>
      <c r="B30" s="2" t="s">
        <v>118</v>
      </c>
      <c r="C30" s="2" t="s">
        <v>77</v>
      </c>
      <c r="D30" s="2"/>
      <c r="E30" s="2" t="s">
        <v>25</v>
      </c>
      <c r="F30" s="3" t="s">
        <v>119</v>
      </c>
      <c r="G30" s="2" t="str">
        <f aca="false">IF(LEFT(F30,1)="3","Celular","Fijo")</f>
        <v>Celular</v>
      </c>
      <c r="H30" s="4" t="str">
        <f aca="false">IF(G30="Celular",HYPERLINK("https://wa.me/57"&amp;F30,"Abrir chat"),"")</f>
        <v>Abrir chat</v>
      </c>
      <c r="I30" s="2" t="s">
        <v>120</v>
      </c>
      <c r="J30" s="5" t="s">
        <v>22</v>
      </c>
      <c r="K30" s="6"/>
      <c r="L30" s="7" t="str">
        <f aca="false">IF(K30="","",K30+4)</f>
        <v/>
      </c>
      <c r="M30" s="5"/>
      <c r="N30" s="8" t="str">
        <f aca="false">IF(M30="","",INDEX(Planes!$B$4:$B$6,MATCH(M30,Planes!$A$4:$A$6,0)))</f>
        <v/>
      </c>
      <c r="O30" s="5" t="s">
        <v>23</v>
      </c>
      <c r="P30" s="5"/>
      <c r="Q30" s="4" t="str">
        <f aca="false">HYPERLINK("https://www.informacolombia.com/directorio-empresas/informacion-empresa/inversiones-cafe-retiro-sas","Ver ficha")</f>
        <v>Ver ficha</v>
      </c>
    </row>
    <row r="31" customFormat="false" ht="15" hidden="false" customHeight="false" outlineLevel="0" collapsed="false">
      <c r="A31" s="2" t="n">
        <v>30</v>
      </c>
      <c r="B31" s="2" t="s">
        <v>121</v>
      </c>
      <c r="C31" s="2" t="s">
        <v>77</v>
      </c>
      <c r="D31" s="2"/>
      <c r="E31" s="2" t="s">
        <v>25</v>
      </c>
      <c r="F31" s="3" t="s">
        <v>122</v>
      </c>
      <c r="G31" s="2" t="str">
        <f aca="false">IF(LEFT(F31,1)="3","Celular","Fijo")</f>
        <v>Celular</v>
      </c>
      <c r="H31" s="4" t="str">
        <f aca="false">IF(G31="Celular",HYPERLINK("https://wa.me/57"&amp;F31,"Abrir chat"),"")</f>
        <v>Abrir chat</v>
      </c>
      <c r="I31" s="2" t="s">
        <v>123</v>
      </c>
      <c r="J31" s="5" t="s">
        <v>22</v>
      </c>
      <c r="K31" s="6"/>
      <c r="L31" s="7" t="str">
        <f aca="false">IF(K31="","",K31+4)</f>
        <v/>
      </c>
      <c r="M31" s="5"/>
      <c r="N31" s="8" t="str">
        <f aca="false">IF(M31="","",INDEX(Planes!$B$4:$B$6,MATCH(M31,Planes!$A$4:$A$6,0)))</f>
        <v/>
      </c>
      <c r="O31" s="5" t="s">
        <v>23</v>
      </c>
      <c r="P31" s="5"/>
      <c r="Q31" s="4" t="str">
        <f aca="false">HYPERLINK("https://www.informacolombia.com/directorio-empresas/informacion-empresa/cafe-sudamerica-colombia-sas","Ver ficha")</f>
        <v>Ver ficha</v>
      </c>
    </row>
    <row r="32" customFormat="false" ht="15" hidden="false" customHeight="false" outlineLevel="0" collapsed="false">
      <c r="A32" s="2" t="n">
        <v>31</v>
      </c>
      <c r="B32" s="2" t="s">
        <v>124</v>
      </c>
      <c r="C32" s="2" t="s">
        <v>77</v>
      </c>
      <c r="D32" s="2" t="s">
        <v>78</v>
      </c>
      <c r="E32" s="2" t="s">
        <v>1</v>
      </c>
      <c r="F32" s="3" t="s">
        <v>125</v>
      </c>
      <c r="G32" s="2" t="str">
        <f aca="false">IF(LEFT(F32,1)="3","Celular","Fijo")</f>
        <v>Celular</v>
      </c>
      <c r="H32" s="4" t="str">
        <f aca="false">IF(G32="Celular",HYPERLINK("https://wa.me/57"&amp;F32,"Abrir chat"),"")</f>
        <v>Abrir chat</v>
      </c>
      <c r="I32" s="2" t="s">
        <v>126</v>
      </c>
      <c r="J32" s="5" t="s">
        <v>22</v>
      </c>
      <c r="K32" s="6"/>
      <c r="L32" s="7" t="str">
        <f aca="false">IF(K32="","",K32+4)</f>
        <v/>
      </c>
      <c r="M32" s="5"/>
      <c r="N32" s="8" t="str">
        <f aca="false">IF(M32="","",INDEX(Planes!$B$4:$B$6,MATCH(M32,Planes!$A$4:$A$6,0)))</f>
        <v/>
      </c>
      <c r="O32" s="5" t="s">
        <v>23</v>
      </c>
      <c r="P32" s="5"/>
      <c r="Q32" s="4" t="str">
        <f aca="false">HYPERLINK("https://directorio-empresas.einforma.co/informacion-empresa/chapati-halal-sas","Ver ficha")</f>
        <v>Ver ficha</v>
      </c>
    </row>
    <row r="33" customFormat="false" ht="15" hidden="false" customHeight="false" outlineLevel="0" collapsed="false">
      <c r="A33" s="2" t="n">
        <v>32</v>
      </c>
      <c r="B33" s="2" t="s">
        <v>127</v>
      </c>
      <c r="C33" s="2" t="s">
        <v>77</v>
      </c>
      <c r="D33" s="2"/>
      <c r="E33" s="2" t="s">
        <v>19</v>
      </c>
      <c r="F33" s="3" t="s">
        <v>128</v>
      </c>
      <c r="G33" s="2" t="str">
        <f aca="false">IF(LEFT(F33,1)="3","Celular","Fijo")</f>
        <v>Fijo</v>
      </c>
      <c r="H33" s="4" t="str">
        <f aca="false">IF(G33="Celular",HYPERLINK("https://wa.me/57"&amp;F33,"Abrir chat"),"")</f>
        <v/>
      </c>
      <c r="I33" s="2" t="s">
        <v>129</v>
      </c>
      <c r="J33" s="5" t="s">
        <v>22</v>
      </c>
      <c r="K33" s="6"/>
      <c r="L33" s="7" t="str">
        <f aca="false">IF(K33="","",K33+4)</f>
        <v/>
      </c>
      <c r="M33" s="5"/>
      <c r="N33" s="8" t="str">
        <f aca="false">IF(M33="","",INDEX(Planes!$B$4:$B$6,MATCH(M33,Planes!$A$4:$A$6,0)))</f>
        <v/>
      </c>
      <c r="O33" s="5" t="s">
        <v>47</v>
      </c>
      <c r="P33" s="5"/>
      <c r="Q33" s="4" t="str">
        <f aca="false">HYPERLINK("https://www.informacolombia.com/directorio-empresas/informacion-empresa/chef-burger-sas","Ver ficha")</f>
        <v>Ver ficha</v>
      </c>
    </row>
    <row r="34" customFormat="false" ht="15" hidden="false" customHeight="false" outlineLevel="0" collapsed="false">
      <c r="A34" s="2" t="n">
        <v>33</v>
      </c>
      <c r="B34" s="2" t="s">
        <v>130</v>
      </c>
      <c r="C34" s="2" t="s">
        <v>77</v>
      </c>
      <c r="D34" s="2" t="s">
        <v>78</v>
      </c>
      <c r="E34" s="2" t="s">
        <v>131</v>
      </c>
      <c r="F34" s="3" t="s">
        <v>132</v>
      </c>
      <c r="G34" s="2" t="str">
        <f aca="false">IF(LEFT(F34,1)="3","Celular","Fijo")</f>
        <v>Celular</v>
      </c>
      <c r="H34" s="4" t="str">
        <f aca="false">IF(G34="Celular",HYPERLINK("https://wa.me/57"&amp;F34,"Abrir chat"),"")</f>
        <v>Abrir chat</v>
      </c>
      <c r="I34" s="2" t="s">
        <v>133</v>
      </c>
      <c r="J34" s="5" t="s">
        <v>22</v>
      </c>
      <c r="K34" s="6"/>
      <c r="L34" s="7" t="str">
        <f aca="false">IF(K34="","",K34+4)</f>
        <v/>
      </c>
      <c r="M34" s="5"/>
      <c r="N34" s="8" t="str">
        <f aca="false">IF(M34="","",INDEX(Planes!$B$4:$B$6,MATCH(M34,Planes!$A$4:$A$6,0)))</f>
        <v/>
      </c>
      <c r="O34" s="5" t="s">
        <v>23</v>
      </c>
      <c r="P34" s="5"/>
      <c r="Q34" s="4" t="str">
        <f aca="false">HYPERLINK("https://www.informacolombia.com/directorio-empresas/informacion-empresa/cocina-cafe-pan-sas","Ver ficha")</f>
        <v>Ver ficha</v>
      </c>
    </row>
    <row r="35" customFormat="false" ht="15" hidden="false" customHeight="false" outlineLevel="0" collapsed="false">
      <c r="A35" s="2" t="n">
        <v>34</v>
      </c>
      <c r="B35" s="2" t="s">
        <v>134</v>
      </c>
      <c r="C35" s="2" t="s">
        <v>77</v>
      </c>
      <c r="D35" s="2" t="s">
        <v>78</v>
      </c>
      <c r="E35" s="2" t="s">
        <v>25</v>
      </c>
      <c r="F35" s="3" t="s">
        <v>135</v>
      </c>
      <c r="G35" s="2" t="str">
        <f aca="false">IF(LEFT(F35,1)="3","Celular","Fijo")</f>
        <v>Celular</v>
      </c>
      <c r="H35" s="4" t="str">
        <f aca="false">IF(G35="Celular",HYPERLINK("https://wa.me/57"&amp;F35,"Abrir chat"),"")</f>
        <v>Abrir chat</v>
      </c>
      <c r="I35" s="2" t="s">
        <v>136</v>
      </c>
      <c r="J35" s="5" t="s">
        <v>22</v>
      </c>
      <c r="K35" s="6"/>
      <c r="L35" s="7" t="str">
        <f aca="false">IF(K35="","",K35+4)</f>
        <v/>
      </c>
      <c r="M35" s="5"/>
      <c r="N35" s="8" t="str">
        <f aca="false">IF(M35="","",INDEX(Planes!$B$4:$B$6,MATCH(M35,Planes!$A$4:$A$6,0)))</f>
        <v/>
      </c>
      <c r="O35" s="5" t="s">
        <v>23</v>
      </c>
      <c r="P35" s="5"/>
      <c r="Q35" s="4" t="str">
        <f aca="false">HYPERLINK("https://www.informacolombia.com/directorio-empresas/informacion-empresa/coffee-development-projects-sas","Ver ficha")</f>
        <v>Ver ficha</v>
      </c>
    </row>
    <row r="36" customFormat="false" ht="15" hidden="false" customHeight="false" outlineLevel="0" collapsed="false">
      <c r="A36" s="2" t="n">
        <v>35</v>
      </c>
      <c r="B36" s="2" t="s">
        <v>137</v>
      </c>
      <c r="C36" s="2" t="s">
        <v>77</v>
      </c>
      <c r="D36" s="2" t="s">
        <v>88</v>
      </c>
      <c r="E36" s="2" t="s">
        <v>116</v>
      </c>
      <c r="F36" s="3" t="s">
        <v>138</v>
      </c>
      <c r="G36" s="2" t="str">
        <f aca="false">IF(LEFT(F36,1)="3","Celular","Fijo")</f>
        <v>Celular</v>
      </c>
      <c r="H36" s="4" t="str">
        <f aca="false">IF(G36="Celular",HYPERLINK("https://wa.me/57"&amp;F36,"Abrir chat"),"")</f>
        <v>Abrir chat</v>
      </c>
      <c r="I36" s="2"/>
      <c r="J36" s="5" t="s">
        <v>22</v>
      </c>
      <c r="K36" s="6"/>
      <c r="L36" s="7" t="str">
        <f aca="false">IF(K36="","",K36+4)</f>
        <v/>
      </c>
      <c r="M36" s="5"/>
      <c r="N36" s="8" t="str">
        <f aca="false">IF(M36="","",INDEX(Planes!$B$4:$B$6,MATCH(M36,Planes!$A$4:$A$6,0)))</f>
        <v/>
      </c>
      <c r="O36" s="5" t="s">
        <v>23</v>
      </c>
      <c r="P36" s="5"/>
      <c r="Q36" s="4" t="str">
        <f aca="false">HYPERLINK("https://medellinguru.com/?p=24707","Ver ficha")</f>
        <v>Ver ficha</v>
      </c>
    </row>
    <row r="37" customFormat="false" ht="15" hidden="false" customHeight="false" outlineLevel="0" collapsed="false">
      <c r="A37" s="2" t="n">
        <v>36</v>
      </c>
      <c r="B37" s="2" t="s">
        <v>139</v>
      </c>
      <c r="C37" s="2" t="s">
        <v>77</v>
      </c>
      <c r="D37" s="2" t="s">
        <v>115</v>
      </c>
      <c r="E37" s="2" t="s">
        <v>116</v>
      </c>
      <c r="F37" s="3" t="s">
        <v>140</v>
      </c>
      <c r="G37" s="2" t="str">
        <f aca="false">IF(LEFT(F37,1)="3","Celular","Fijo")</f>
        <v>Celular</v>
      </c>
      <c r="H37" s="4" t="str">
        <f aca="false">IF(G37="Celular",HYPERLINK("https://wa.me/57"&amp;F37,"Abrir chat"),"")</f>
        <v>Abrir chat</v>
      </c>
      <c r="I37" s="2"/>
      <c r="J37" s="5" t="s">
        <v>22</v>
      </c>
      <c r="K37" s="6"/>
      <c r="L37" s="7" t="str">
        <f aca="false">IF(K37="","",K37+4)</f>
        <v/>
      </c>
      <c r="M37" s="5"/>
      <c r="N37" s="8" t="str">
        <f aca="false">IF(M37="","",INDEX(Planes!$B$4:$B$6,MATCH(M37,Planes!$A$4:$A$6,0)))</f>
        <v/>
      </c>
      <c r="O37" s="5" t="s">
        <v>23</v>
      </c>
      <c r="P37" s="5" t="s">
        <v>141</v>
      </c>
      <c r="Q37" s="4" t="str">
        <f aca="false">HYPERLINK("https://medellinguru.com/?p=24612","Ver ficha")</f>
        <v>Ver ficha</v>
      </c>
    </row>
    <row r="38" customFormat="false" ht="15" hidden="false" customHeight="false" outlineLevel="0" collapsed="false">
      <c r="A38" s="2" t="n">
        <v>37</v>
      </c>
      <c r="B38" s="2" t="s">
        <v>142</v>
      </c>
      <c r="C38" s="2" t="s">
        <v>77</v>
      </c>
      <c r="D38" s="2" t="s">
        <v>78</v>
      </c>
      <c r="E38" s="2" t="s">
        <v>143</v>
      </c>
      <c r="F38" s="3" t="s">
        <v>144</v>
      </c>
      <c r="G38" s="2" t="str">
        <f aca="false">IF(LEFT(F38,1)="3","Celular","Fijo")</f>
        <v>Celular</v>
      </c>
      <c r="H38" s="4" t="str">
        <f aca="false">IF(G38="Celular",HYPERLINK("https://wa.me/57"&amp;F38,"Abrir chat"),"")</f>
        <v>Abrir chat</v>
      </c>
      <c r="I38" s="2" t="s">
        <v>145</v>
      </c>
      <c r="J38" s="5" t="s">
        <v>22</v>
      </c>
      <c r="K38" s="6"/>
      <c r="L38" s="7" t="str">
        <f aca="false">IF(K38="","",K38+4)</f>
        <v/>
      </c>
      <c r="M38" s="5"/>
      <c r="N38" s="8" t="str">
        <f aca="false">IF(M38="","",INDEX(Planes!$B$4:$B$6,MATCH(M38,Planes!$A$4:$A$6,0)))</f>
        <v/>
      </c>
      <c r="O38" s="5" t="s">
        <v>23</v>
      </c>
      <c r="P38" s="5"/>
      <c r="Q38" s="4" t="str">
        <f aca="false">HYPERLINK("https://www.informacolombia.com/directorio-empresas/informacion-empresa/roll-company-sas","Ver ficha")</f>
        <v>Ver ficha</v>
      </c>
    </row>
    <row r="39" customFormat="false" ht="15" hidden="false" customHeight="false" outlineLevel="0" collapsed="false">
      <c r="A39" s="2" t="n">
        <v>38</v>
      </c>
      <c r="B39" s="2" t="s">
        <v>146</v>
      </c>
      <c r="C39" s="2" t="s">
        <v>77</v>
      </c>
      <c r="D39" s="2" t="s">
        <v>147</v>
      </c>
      <c r="E39" s="2" t="s">
        <v>148</v>
      </c>
      <c r="F39" s="3" t="s">
        <v>149</v>
      </c>
      <c r="G39" s="2" t="str">
        <f aca="false">IF(LEFT(F39,1)="3","Celular","Fijo")</f>
        <v>Celular</v>
      </c>
      <c r="H39" s="4" t="str">
        <f aca="false">IF(G39="Celular",HYPERLINK("https://wa.me/57"&amp;F39,"Abrir chat"),"")</f>
        <v>Abrir chat</v>
      </c>
      <c r="I39" s="2" t="s">
        <v>150</v>
      </c>
      <c r="J39" s="5" t="s">
        <v>22</v>
      </c>
      <c r="K39" s="6"/>
      <c r="L39" s="7" t="str">
        <f aca="false">IF(K39="","",K39+4)</f>
        <v/>
      </c>
      <c r="M39" s="5"/>
      <c r="N39" s="8" t="str">
        <f aca="false">IF(M39="","",INDEX(Planes!$B$4:$B$6,MATCH(M39,Planes!$A$4:$A$6,0)))</f>
        <v/>
      </c>
      <c r="O39" s="5" t="s">
        <v>23</v>
      </c>
      <c r="P39" s="5"/>
      <c r="Q39" s="4" t="str">
        <f aca="false">HYPERLINK("https://www.informacolombia.com/directorio-empresas/informacion-empresa/clinica-veterinaria-manrique-sas","Ver ficha")</f>
        <v>Ver ficha</v>
      </c>
    </row>
    <row r="40" customFormat="false" ht="15" hidden="false" customHeight="false" outlineLevel="0" collapsed="false">
      <c r="A40" s="2" t="n">
        <v>39</v>
      </c>
      <c r="B40" s="2" t="s">
        <v>151</v>
      </c>
      <c r="C40" s="2" t="s">
        <v>77</v>
      </c>
      <c r="D40" s="2" t="s">
        <v>88</v>
      </c>
      <c r="E40" s="2" t="s">
        <v>41</v>
      </c>
      <c r="F40" s="3" t="s">
        <v>152</v>
      </c>
      <c r="G40" s="2" t="str">
        <f aca="false">IF(LEFT(F40,1)="3","Celular","Fijo")</f>
        <v>Celular</v>
      </c>
      <c r="H40" s="4" t="str">
        <f aca="false">IF(G40="Celular",HYPERLINK("https://wa.me/57"&amp;F40,"Abrir chat"),"")</f>
        <v>Abrir chat</v>
      </c>
      <c r="I40" s="2" t="s">
        <v>153</v>
      </c>
      <c r="J40" s="5" t="s">
        <v>22</v>
      </c>
      <c r="K40" s="6"/>
      <c r="L40" s="7" t="str">
        <f aca="false">IF(K40="","",K40+4)</f>
        <v/>
      </c>
      <c r="M40" s="5"/>
      <c r="N40" s="8" t="str">
        <f aca="false">IF(M40="","",INDEX(Planes!$B$4:$B$6,MATCH(M40,Planes!$A$4:$A$6,0)))</f>
        <v/>
      </c>
      <c r="O40" s="5" t="s">
        <v>23</v>
      </c>
      <c r="P40" s="5"/>
      <c r="Q40" s="4" t="str">
        <f aca="false">HYPERLINK("https://directorio-empresas.einforma.co/informacion-empresa/rey-parrillero-laureles-sas","Ver ficha")</f>
        <v>Ver ficha</v>
      </c>
    </row>
    <row r="41" customFormat="false" ht="15" hidden="false" customHeight="false" outlineLevel="0" collapsed="false">
      <c r="A41" s="2" t="n">
        <v>40</v>
      </c>
      <c r="B41" s="2" t="s">
        <v>154</v>
      </c>
      <c r="C41" s="2" t="s">
        <v>77</v>
      </c>
      <c r="D41" s="2"/>
      <c r="E41" s="2" t="s">
        <v>54</v>
      </c>
      <c r="F41" s="3" t="s">
        <v>155</v>
      </c>
      <c r="G41" s="2" t="str">
        <f aca="false">IF(LEFT(F41,1)="3","Celular","Fijo")</f>
        <v>Celular</v>
      </c>
      <c r="H41" s="4" t="str">
        <f aca="false">IF(G41="Celular",HYPERLINK("https://wa.me/57"&amp;F41,"Abrir chat"),"")</f>
        <v>Abrir chat</v>
      </c>
      <c r="I41" s="2" t="s">
        <v>156</v>
      </c>
      <c r="J41" s="5" t="s">
        <v>22</v>
      </c>
      <c r="K41" s="6"/>
      <c r="L41" s="7" t="str">
        <f aca="false">IF(K41="","",K41+4)</f>
        <v/>
      </c>
      <c r="M41" s="5"/>
      <c r="N41" s="8" t="str">
        <f aca="false">IF(M41="","",INDEX(Planes!$B$4:$B$6,MATCH(M41,Planes!$A$4:$A$6,0)))</f>
        <v/>
      </c>
      <c r="O41" s="5" t="s">
        <v>23</v>
      </c>
      <c r="P41" s="5"/>
      <c r="Q41" s="4" t="str">
        <f aca="false">HYPERLINK("https://directorio-empresas.einforma.co/informacion-empresa/elemental-cocina-mesa-bar-sas","Ver ficha")</f>
        <v>Ver ficha</v>
      </c>
    </row>
    <row r="42" customFormat="false" ht="15" hidden="false" customHeight="false" outlineLevel="0" collapsed="false">
      <c r="A42" s="2" t="n">
        <v>41</v>
      </c>
      <c r="B42" s="2" t="s">
        <v>157</v>
      </c>
      <c r="C42" s="2" t="s">
        <v>77</v>
      </c>
      <c r="D42" s="2" t="s">
        <v>103</v>
      </c>
      <c r="E42" s="2" t="s">
        <v>19</v>
      </c>
      <c r="F42" s="3" t="s">
        <v>158</v>
      </c>
      <c r="G42" s="2" t="str">
        <f aca="false">IF(LEFT(F42,1)="3","Celular","Fijo")</f>
        <v>Celular</v>
      </c>
      <c r="H42" s="4" t="str">
        <f aca="false">IF(G42="Celular",HYPERLINK("https://wa.me/57"&amp;F42,"Abrir chat"),"")</f>
        <v>Abrir chat</v>
      </c>
      <c r="I42" s="2" t="s">
        <v>159</v>
      </c>
      <c r="J42" s="5" t="s">
        <v>22</v>
      </c>
      <c r="K42" s="6"/>
      <c r="L42" s="7" t="str">
        <f aca="false">IF(K42="","",K42+4)</f>
        <v/>
      </c>
      <c r="M42" s="5"/>
      <c r="N42" s="8" t="str">
        <f aca="false">IF(M42="","",INDEX(Planes!$B$4:$B$6,MATCH(M42,Planes!$A$4:$A$6,0)))</f>
        <v/>
      </c>
      <c r="O42" s="5" t="s">
        <v>23</v>
      </c>
      <c r="P42" s="5"/>
      <c r="Q42" s="4" t="str">
        <f aca="false">HYPERLINK("https://www.informacolombia.com/directorio-empresas/informacion-empresa/empanadas-calidosas-centro-sas","Ver ficha")</f>
        <v>Ver ficha</v>
      </c>
    </row>
    <row r="43" customFormat="false" ht="15" hidden="false" customHeight="false" outlineLevel="0" collapsed="false">
      <c r="A43" s="2" t="n">
        <v>42</v>
      </c>
      <c r="B43" s="2" t="s">
        <v>160</v>
      </c>
      <c r="C43" s="2" t="s">
        <v>77</v>
      </c>
      <c r="D43" s="2"/>
      <c r="E43" s="2" t="s">
        <v>161</v>
      </c>
      <c r="F43" s="3" t="s">
        <v>162</v>
      </c>
      <c r="G43" s="2" t="str">
        <f aca="false">IF(LEFT(F43,1)="3","Celular","Fijo")</f>
        <v>Celular</v>
      </c>
      <c r="H43" s="4" t="str">
        <f aca="false">IF(G43="Celular",HYPERLINK("https://wa.me/57"&amp;F43,"Abrir chat"),"")</f>
        <v>Abrir chat</v>
      </c>
      <c r="I43" s="2" t="s">
        <v>163</v>
      </c>
      <c r="J43" s="5" t="s">
        <v>22</v>
      </c>
      <c r="K43" s="6"/>
      <c r="L43" s="7" t="str">
        <f aca="false">IF(K43="","",K43+4)</f>
        <v/>
      </c>
      <c r="M43" s="5"/>
      <c r="N43" s="8" t="str">
        <f aca="false">IF(M43="","",INDEX(Planes!$B$4:$B$6,MATCH(M43,Planes!$A$4:$A$6,0)))</f>
        <v/>
      </c>
      <c r="O43" s="5" t="s">
        <v>23</v>
      </c>
      <c r="P43" s="5"/>
      <c r="Q43" s="4" t="str">
        <f aca="false">HYPERLINK("https://directorio-empresas.einforma.co/informacion-empresa/eventos-alimentos-sas","Ver ficha")</f>
        <v>Ver ficha</v>
      </c>
    </row>
    <row r="44" customFormat="false" ht="15" hidden="false" customHeight="false" outlineLevel="0" collapsed="false">
      <c r="A44" s="2" t="n">
        <v>43</v>
      </c>
      <c r="B44" s="2" t="s">
        <v>164</v>
      </c>
      <c r="C44" s="2" t="s">
        <v>77</v>
      </c>
      <c r="D44" s="2"/>
      <c r="E44" s="2" t="s">
        <v>1</v>
      </c>
      <c r="F44" s="3" t="s">
        <v>165</v>
      </c>
      <c r="G44" s="2" t="str">
        <f aca="false">IF(LEFT(F44,1)="3","Celular","Fijo")</f>
        <v>Fijo</v>
      </c>
      <c r="H44" s="4" t="str">
        <f aca="false">IF(G44="Celular",HYPERLINK("https://wa.me/57"&amp;F44,"Abrir chat"),"")</f>
        <v/>
      </c>
      <c r="I44" s="2"/>
      <c r="J44" s="5" t="s">
        <v>22</v>
      </c>
      <c r="K44" s="6"/>
      <c r="L44" s="7" t="str">
        <f aca="false">IF(K44="","",K44+4)</f>
        <v/>
      </c>
      <c r="M44" s="5"/>
      <c r="N44" s="8" t="str">
        <f aca="false">IF(M44="","",INDEX(Planes!$B$4:$B$6,MATCH(M44,Planes!$A$4:$A$6,0)))</f>
        <v/>
      </c>
      <c r="O44" s="5" t="s">
        <v>47</v>
      </c>
      <c r="P44" s="5"/>
      <c r="Q44" s="4" t="str">
        <f aca="false">HYPERLINK("https://www.informacolombia.com/directorio-empresas/actividad/5611_EXPENDIO-A-LA-MESA-DE-COMIDAS-PREPARADAS/localidad_medellin?qPg=2","Ver ficha")</f>
        <v>Ver ficha</v>
      </c>
    </row>
    <row r="45" customFormat="false" ht="15" hidden="false" customHeight="false" outlineLevel="0" collapsed="false">
      <c r="A45" s="2" t="n">
        <v>44</v>
      </c>
      <c r="B45" s="2" t="s">
        <v>166</v>
      </c>
      <c r="C45" s="2" t="s">
        <v>77</v>
      </c>
      <c r="D45" s="2" t="s">
        <v>78</v>
      </c>
      <c r="E45" s="2" t="s">
        <v>1</v>
      </c>
      <c r="F45" s="3" t="s">
        <v>167</v>
      </c>
      <c r="G45" s="2" t="str">
        <f aca="false">IF(LEFT(F45,1)="3","Celular","Fijo")</f>
        <v>Fijo</v>
      </c>
      <c r="H45" s="4" t="str">
        <f aca="false">IF(G45="Celular",HYPERLINK("https://wa.me/57"&amp;F45,"Abrir chat"),"")</f>
        <v/>
      </c>
      <c r="I45" s="2" t="s">
        <v>168</v>
      </c>
      <c r="J45" s="5" t="s">
        <v>22</v>
      </c>
      <c r="K45" s="6"/>
      <c r="L45" s="7" t="str">
        <f aca="false">IF(K45="","",K45+4)</f>
        <v/>
      </c>
      <c r="M45" s="5"/>
      <c r="N45" s="8" t="str">
        <f aca="false">IF(M45="","",INDEX(Planes!$B$4:$B$6,MATCH(M45,Planes!$A$4:$A$6,0)))</f>
        <v/>
      </c>
      <c r="O45" s="5" t="s">
        <v>47</v>
      </c>
      <c r="P45" s="5"/>
      <c r="Q45" s="4" t="str">
        <f aca="false">HYPERLINK("https://www.informacolombia.com/directorio-empresas/informacion-empresa/gourmet-cocina-ltda","Ver ficha")</f>
        <v>Ver ficha</v>
      </c>
    </row>
    <row r="46" customFormat="false" ht="15" hidden="false" customHeight="false" outlineLevel="0" collapsed="false">
      <c r="A46" s="2" t="n">
        <v>45</v>
      </c>
      <c r="B46" s="2" t="s">
        <v>169</v>
      </c>
      <c r="C46" s="2" t="s">
        <v>77</v>
      </c>
      <c r="D46" s="2"/>
      <c r="E46" s="2" t="s">
        <v>170</v>
      </c>
      <c r="F46" s="3" t="s">
        <v>171</v>
      </c>
      <c r="G46" s="2" t="str">
        <f aca="false">IF(LEFT(F46,1)="3","Celular","Fijo")</f>
        <v>Fijo</v>
      </c>
      <c r="H46" s="4" t="str">
        <f aca="false">IF(G46="Celular",HYPERLINK("https://wa.me/57"&amp;F46,"Abrir chat"),"")</f>
        <v/>
      </c>
      <c r="I46" s="2" t="s">
        <v>172</v>
      </c>
      <c r="J46" s="5" t="s">
        <v>22</v>
      </c>
      <c r="K46" s="6"/>
      <c r="L46" s="7" t="str">
        <f aca="false">IF(K46="","",K46+4)</f>
        <v/>
      </c>
      <c r="M46" s="5"/>
      <c r="N46" s="8" t="str">
        <f aca="false">IF(M46="","",INDEX(Planes!$B$4:$B$6,MATCH(M46,Planes!$A$4:$A$6,0)))</f>
        <v/>
      </c>
      <c r="O46" s="5" t="s">
        <v>47</v>
      </c>
      <c r="P46" s="5"/>
      <c r="Q46" s="4" t="str">
        <f aca="false">HYPERLINK("https://directorio-empresas.einforma.co/informacion-empresa/grupo-alimenticio-pizzotas-sas","Ver ficha")</f>
        <v>Ver ficha</v>
      </c>
    </row>
    <row r="47" customFormat="false" ht="15" hidden="false" customHeight="false" outlineLevel="0" collapsed="false">
      <c r="A47" s="2" t="n">
        <v>46</v>
      </c>
      <c r="B47" s="2" t="s">
        <v>173</v>
      </c>
      <c r="C47" s="2" t="s">
        <v>77</v>
      </c>
      <c r="D47" s="2"/>
      <c r="E47" s="2" t="s">
        <v>19</v>
      </c>
      <c r="F47" s="3" t="s">
        <v>174</v>
      </c>
      <c r="G47" s="2" t="str">
        <f aca="false">IF(LEFT(F47,1)="3","Celular","Fijo")</f>
        <v>Fijo</v>
      </c>
      <c r="H47" s="4" t="str">
        <f aca="false">IF(G47="Celular",HYPERLINK("https://wa.me/57"&amp;F47,"Abrir chat"),"")</f>
        <v/>
      </c>
      <c r="I47" s="2" t="s">
        <v>175</v>
      </c>
      <c r="J47" s="5" t="s">
        <v>22</v>
      </c>
      <c r="K47" s="6"/>
      <c r="L47" s="7" t="str">
        <f aca="false">IF(K47="","",K47+4)</f>
        <v/>
      </c>
      <c r="M47" s="5"/>
      <c r="N47" s="8" t="str">
        <f aca="false">IF(M47="","",INDEX(Planes!$B$4:$B$6,MATCH(M47,Planes!$A$4:$A$6,0)))</f>
        <v/>
      </c>
      <c r="O47" s="5" t="s">
        <v>47</v>
      </c>
      <c r="P47" s="5"/>
      <c r="Q47" s="4" t="str">
        <f aca="false">HYPERLINK("https://directorio-empresas.einforma.co/informacion-empresa/hamburguesas-46-sas","Ver ficha")</f>
        <v>Ver ficha</v>
      </c>
    </row>
    <row r="48" customFormat="false" ht="15" hidden="false" customHeight="false" outlineLevel="0" collapsed="false">
      <c r="A48" s="2" t="n">
        <v>47</v>
      </c>
      <c r="B48" s="2" t="s">
        <v>176</v>
      </c>
      <c r="C48" s="2" t="s">
        <v>77</v>
      </c>
      <c r="D48" s="2"/>
      <c r="E48" s="2" t="s">
        <v>19</v>
      </c>
      <c r="F48" s="3" t="s">
        <v>177</v>
      </c>
      <c r="G48" s="2" t="str">
        <f aca="false">IF(LEFT(F48,1)="3","Celular","Fijo")</f>
        <v>Fijo</v>
      </c>
      <c r="H48" s="4" t="str">
        <f aca="false">IF(G48="Celular",HYPERLINK("https://wa.me/57"&amp;F48,"Abrir chat"),"")</f>
        <v/>
      </c>
      <c r="I48" s="2" t="s">
        <v>178</v>
      </c>
      <c r="J48" s="5" t="s">
        <v>22</v>
      </c>
      <c r="K48" s="6"/>
      <c r="L48" s="7" t="str">
        <f aca="false">IF(K48="","",K48+4)</f>
        <v/>
      </c>
      <c r="M48" s="5"/>
      <c r="N48" s="8" t="str">
        <f aca="false">IF(M48="","",INDEX(Planes!$B$4:$B$6,MATCH(M48,Planes!$A$4:$A$6,0)))</f>
        <v/>
      </c>
      <c r="O48" s="5" t="s">
        <v>47</v>
      </c>
      <c r="P48" s="5"/>
      <c r="Q48" s="4" t="str">
        <f aca="false">HYPERLINK("https://www.informacolombia.com/directorio-empresas/informacion-empresa/hamburguesas-perros-barrio-sas","Ver ficha")</f>
        <v>Ver ficha</v>
      </c>
    </row>
    <row r="49" customFormat="false" ht="15" hidden="false" customHeight="false" outlineLevel="0" collapsed="false">
      <c r="A49" s="2" t="n">
        <v>48</v>
      </c>
      <c r="B49" s="2" t="s">
        <v>179</v>
      </c>
      <c r="C49" s="2" t="s">
        <v>77</v>
      </c>
      <c r="D49" s="2" t="s">
        <v>78</v>
      </c>
      <c r="E49" s="2" t="s">
        <v>1</v>
      </c>
      <c r="F49" s="3" t="s">
        <v>180</v>
      </c>
      <c r="G49" s="2" t="str">
        <f aca="false">IF(LEFT(F49,1)="3","Celular","Fijo")</f>
        <v>Celular</v>
      </c>
      <c r="H49" s="4" t="str">
        <f aca="false">IF(G49="Celular",HYPERLINK("https://wa.me/57"&amp;F49,"Abrir chat"),"")</f>
        <v>Abrir chat</v>
      </c>
      <c r="I49" s="2" t="s">
        <v>181</v>
      </c>
      <c r="J49" s="5" t="s">
        <v>22</v>
      </c>
      <c r="K49" s="6"/>
      <c r="L49" s="7" t="str">
        <f aca="false">IF(K49="","",K49+4)</f>
        <v/>
      </c>
      <c r="M49" s="5"/>
      <c r="N49" s="8" t="str">
        <f aca="false">IF(M49="","",INDEX(Planes!$B$4:$B$6,MATCH(M49,Planes!$A$4:$A$6,0)))</f>
        <v/>
      </c>
      <c r="O49" s="5" t="s">
        <v>23</v>
      </c>
      <c r="P49" s="5"/>
      <c r="Q49" s="4" t="str">
        <f aca="false">HYPERLINK("https://www.informacolombia.com/directorio-empresas/informacion-empresa/hanami-sas","Ver ficha")</f>
        <v>Ver ficha</v>
      </c>
    </row>
    <row r="50" customFormat="false" ht="15" hidden="false" customHeight="false" outlineLevel="0" collapsed="false">
      <c r="A50" s="2" t="n">
        <v>49</v>
      </c>
      <c r="B50" s="2" t="s">
        <v>182</v>
      </c>
      <c r="C50" s="2" t="s">
        <v>77</v>
      </c>
      <c r="D50" s="2"/>
      <c r="E50" s="2" t="s">
        <v>19</v>
      </c>
      <c r="F50" s="3" t="s">
        <v>183</v>
      </c>
      <c r="G50" s="2" t="str">
        <f aca="false">IF(LEFT(F50,1)="3","Celular","Fijo")</f>
        <v>Celular</v>
      </c>
      <c r="H50" s="4" t="str">
        <f aca="false">IF(G50="Celular",HYPERLINK("https://wa.me/57"&amp;F50,"Abrir chat"),"")</f>
        <v>Abrir chat</v>
      </c>
      <c r="I50" s="2"/>
      <c r="J50" s="5" t="s">
        <v>22</v>
      </c>
      <c r="K50" s="6"/>
      <c r="L50" s="7" t="str">
        <f aca="false">IF(K50="","",K50+4)</f>
        <v/>
      </c>
      <c r="M50" s="5"/>
      <c r="N50" s="8" t="str">
        <f aca="false">IF(M50="","",INDEX(Planes!$B$4:$B$6,MATCH(M50,Planes!$A$4:$A$6,0)))</f>
        <v/>
      </c>
      <c r="O50" s="5" t="s">
        <v>23</v>
      </c>
      <c r="P50" s="5"/>
      <c r="Q50" s="4" t="str">
        <f aca="false">HYPERLINK("https://www.informacolombia.com/directorio-empresas/actividad/5619_OTROS-TIPOS-DE-EXPENDIO-DE-COMIDAS-PREPARADAS-N-C-P/localidad_medellin","Ver ficha")</f>
        <v>Ver ficha</v>
      </c>
    </row>
    <row r="51" customFormat="false" ht="15" hidden="false" customHeight="false" outlineLevel="0" collapsed="false">
      <c r="A51" s="2" t="n">
        <v>50</v>
      </c>
      <c r="B51" s="2" t="s">
        <v>184</v>
      </c>
      <c r="C51" s="2" t="s">
        <v>77</v>
      </c>
      <c r="D51" s="2"/>
      <c r="E51" s="2" t="s">
        <v>19</v>
      </c>
      <c r="F51" s="3" t="s">
        <v>185</v>
      </c>
      <c r="G51" s="2" t="str">
        <f aca="false">IF(LEFT(F51,1)="3","Celular","Fijo")</f>
        <v>Celular</v>
      </c>
      <c r="H51" s="4" t="str">
        <f aca="false">IF(G51="Celular",HYPERLINK("https://wa.me/57"&amp;F51,"Abrir chat"),"")</f>
        <v>Abrir chat</v>
      </c>
      <c r="I51" s="2" t="s">
        <v>186</v>
      </c>
      <c r="J51" s="5" t="s">
        <v>22</v>
      </c>
      <c r="K51" s="6"/>
      <c r="L51" s="7" t="str">
        <f aca="false">IF(K51="","",K51+4)</f>
        <v/>
      </c>
      <c r="M51" s="5"/>
      <c r="N51" s="8" t="str">
        <f aca="false">IF(M51="","",INDEX(Planes!$B$4:$B$6,MATCH(M51,Planes!$A$4:$A$6,0)))</f>
        <v/>
      </c>
      <c r="O51" s="5" t="s">
        <v>23</v>
      </c>
      <c r="P51" s="5"/>
      <c r="Q51" s="4" t="str">
        <f aca="false">HYPERLINK("https://www.informacolombia.com/directorio-empresas/informacion-empresa/jugosa-ltda","Ver ficha")</f>
        <v>Ver ficha</v>
      </c>
    </row>
    <row r="52" customFormat="false" ht="15" hidden="false" customHeight="false" outlineLevel="0" collapsed="false">
      <c r="A52" s="2" t="n">
        <v>51</v>
      </c>
      <c r="B52" s="2" t="s">
        <v>187</v>
      </c>
      <c r="C52" s="2" t="s">
        <v>77</v>
      </c>
      <c r="D52" s="2" t="s">
        <v>78</v>
      </c>
      <c r="E52" s="2" t="s">
        <v>188</v>
      </c>
      <c r="F52" s="3" t="s">
        <v>189</v>
      </c>
      <c r="G52" s="2" t="str">
        <f aca="false">IF(LEFT(F52,1)="3","Celular","Fijo")</f>
        <v>Celular</v>
      </c>
      <c r="H52" s="4" t="str">
        <f aca="false">IF(G52="Celular",HYPERLINK("https://wa.me/57"&amp;F52,"Abrir chat"),"")</f>
        <v>Abrir chat</v>
      </c>
      <c r="I52" s="2" t="s">
        <v>190</v>
      </c>
      <c r="J52" s="5" t="s">
        <v>22</v>
      </c>
      <c r="K52" s="6"/>
      <c r="L52" s="7" t="str">
        <f aca="false">IF(K52="","",K52+4)</f>
        <v/>
      </c>
      <c r="M52" s="5"/>
      <c r="N52" s="8" t="str">
        <f aca="false">IF(M52="","",INDEX(Planes!$B$4:$B$6,MATCH(M52,Planes!$A$4:$A$6,0)))</f>
        <v/>
      </c>
      <c r="O52" s="5" t="s">
        <v>23</v>
      </c>
      <c r="P52" s="5"/>
      <c r="Q52" s="4" t="str">
        <f aca="false">HYPERLINK("https://www.informacolombia.com/directorio-empresas/actividad/5611_EXPENDIO-A-LA-MESA-DE-COMIDAS-PREPARADAS/localidad_medellin?qPg=2","Ver ficha")</f>
        <v>Ver ficha</v>
      </c>
    </row>
    <row r="53" customFormat="false" ht="15" hidden="false" customHeight="false" outlineLevel="0" collapsed="false">
      <c r="A53" s="2" t="n">
        <v>52</v>
      </c>
      <c r="B53" s="2" t="s">
        <v>191</v>
      </c>
      <c r="C53" s="2" t="s">
        <v>77</v>
      </c>
      <c r="D53" s="2" t="s">
        <v>78</v>
      </c>
      <c r="E53" s="2" t="s">
        <v>192</v>
      </c>
      <c r="F53" s="3" t="s">
        <v>193</v>
      </c>
      <c r="G53" s="2" t="str">
        <f aca="false">IF(LEFT(F53,1)="3","Celular","Fijo")</f>
        <v>Fijo</v>
      </c>
      <c r="H53" s="4" t="str">
        <f aca="false">IF(G53="Celular",HYPERLINK("https://wa.me/57"&amp;F53,"Abrir chat"),"")</f>
        <v/>
      </c>
      <c r="I53" s="2" t="s">
        <v>194</v>
      </c>
      <c r="J53" s="5" t="s">
        <v>22</v>
      </c>
      <c r="K53" s="6"/>
      <c r="L53" s="7" t="str">
        <f aca="false">IF(K53="","",K53+4)</f>
        <v/>
      </c>
      <c r="M53" s="5"/>
      <c r="N53" s="8" t="str">
        <f aca="false">IF(M53="","",INDEX(Planes!$B$4:$B$6,MATCH(M53,Planes!$A$4:$A$6,0)))</f>
        <v/>
      </c>
      <c r="O53" s="5" t="s">
        <v>47</v>
      </c>
      <c r="P53" s="5"/>
      <c r="Q53" s="4" t="str">
        <f aca="false">HYPERLINK("https://www.informacolombia.com/directorio-empresas/informacion-empresa/subway-poblado-sas","Ver ficha")</f>
        <v>Ver ficha</v>
      </c>
    </row>
    <row r="54" customFormat="false" ht="15" hidden="false" customHeight="false" outlineLevel="0" collapsed="false">
      <c r="A54" s="2" t="n">
        <v>53</v>
      </c>
      <c r="B54" s="2" t="s">
        <v>195</v>
      </c>
      <c r="C54" s="2" t="s">
        <v>77</v>
      </c>
      <c r="D54" s="2" t="s">
        <v>78</v>
      </c>
      <c r="E54" s="2" t="s">
        <v>34</v>
      </c>
      <c r="F54" s="3" t="s">
        <v>196</v>
      </c>
      <c r="G54" s="2" t="str">
        <f aca="false">IF(LEFT(F54,1)="3","Celular","Fijo")</f>
        <v>Celular</v>
      </c>
      <c r="H54" s="4" t="str">
        <f aca="false">IF(G54="Celular",HYPERLINK("https://wa.me/57"&amp;F54,"Abrir chat"),"")</f>
        <v>Abrir chat</v>
      </c>
      <c r="I54" s="2" t="s">
        <v>197</v>
      </c>
      <c r="J54" s="5" t="s">
        <v>22</v>
      </c>
      <c r="K54" s="6"/>
      <c r="L54" s="7" t="str">
        <f aca="false">IF(K54="","",K54+4)</f>
        <v/>
      </c>
      <c r="M54" s="5"/>
      <c r="N54" s="8" t="str">
        <f aca="false">IF(M54="","",INDEX(Planes!$B$4:$B$6,MATCH(M54,Planes!$A$4:$A$6,0)))</f>
        <v/>
      </c>
      <c r="O54" s="5" t="s">
        <v>23</v>
      </c>
      <c r="P54" s="5"/>
      <c r="Q54" s="4" t="str">
        <f aca="false">HYPERLINK("https://directorio-empresas.einforma.co/informacion-empresa/inversiones-gastronomicas-fogonazo-sas","Ver ficha")</f>
        <v>Ver ficha</v>
      </c>
    </row>
    <row r="55" customFormat="false" ht="15" hidden="false" customHeight="false" outlineLevel="0" collapsed="false">
      <c r="A55" s="2" t="n">
        <v>54</v>
      </c>
      <c r="B55" s="2" t="s">
        <v>198</v>
      </c>
      <c r="C55" s="2" t="s">
        <v>77</v>
      </c>
      <c r="D55" s="2"/>
      <c r="E55" s="2" t="s">
        <v>199</v>
      </c>
      <c r="F55" s="3" t="s">
        <v>200</v>
      </c>
      <c r="G55" s="2" t="str">
        <f aca="false">IF(LEFT(F55,1)="3","Celular","Fijo")</f>
        <v>Fijo</v>
      </c>
      <c r="H55" s="4" t="str">
        <f aca="false">IF(G55="Celular",HYPERLINK("https://wa.me/57"&amp;F55,"Abrir chat"),"")</f>
        <v/>
      </c>
      <c r="I55" s="2" t="s">
        <v>201</v>
      </c>
      <c r="J55" s="5" t="s">
        <v>22</v>
      </c>
      <c r="K55" s="6"/>
      <c r="L55" s="7" t="str">
        <f aca="false">IF(K55="","",K55+4)</f>
        <v/>
      </c>
      <c r="M55" s="5"/>
      <c r="N55" s="8" t="str">
        <f aca="false">IF(M55="","",INDEX(Planes!$B$4:$B$6,MATCH(M55,Planes!$A$4:$A$6,0)))</f>
        <v/>
      </c>
      <c r="O55" s="5" t="s">
        <v>47</v>
      </c>
      <c r="P55" s="5"/>
      <c r="Q55" s="4" t="str">
        <f aca="false">HYPERLINK("https://directorio-empresas.einforma.co/informacion-empresa/inversiones-parilla-mar-sas","Ver ficha")</f>
        <v>Ver ficha</v>
      </c>
    </row>
    <row r="56" customFormat="false" ht="15" hidden="false" customHeight="false" outlineLevel="0" collapsed="false">
      <c r="A56" s="2" t="n">
        <v>55</v>
      </c>
      <c r="B56" s="2" t="s">
        <v>202</v>
      </c>
      <c r="C56" s="2" t="s">
        <v>77</v>
      </c>
      <c r="D56" s="2" t="s">
        <v>78</v>
      </c>
      <c r="E56" s="2" t="s">
        <v>203</v>
      </c>
      <c r="F56" s="3" t="s">
        <v>204</v>
      </c>
      <c r="G56" s="2" t="str">
        <f aca="false">IF(LEFT(F56,1)="3","Celular","Fijo")</f>
        <v>Fijo</v>
      </c>
      <c r="H56" s="4" t="str">
        <f aca="false">IF(G56="Celular",HYPERLINK("https://wa.me/57"&amp;F56,"Abrir chat"),"")</f>
        <v/>
      </c>
      <c r="I56" s="2" t="s">
        <v>205</v>
      </c>
      <c r="J56" s="5" t="s">
        <v>22</v>
      </c>
      <c r="K56" s="6"/>
      <c r="L56" s="7" t="str">
        <f aca="false">IF(K56="","",K56+4)</f>
        <v/>
      </c>
      <c r="M56" s="5"/>
      <c r="N56" s="8" t="str">
        <f aca="false">IF(M56="","",INDEX(Planes!$B$4:$B$6,MATCH(M56,Planes!$A$4:$A$6,0)))</f>
        <v/>
      </c>
      <c r="O56" s="5" t="s">
        <v>47</v>
      </c>
      <c r="P56" s="5"/>
      <c r="Q56" s="4" t="str">
        <f aca="false">HYPERLINK("https://www.informacolombia.com/directorio-empresas/informacion-empresa/inversiones-sushi-train-sas","Ver ficha")</f>
        <v>Ver ficha</v>
      </c>
    </row>
    <row r="57" customFormat="false" ht="15" hidden="false" customHeight="false" outlineLevel="0" collapsed="false">
      <c r="A57" s="2" t="n">
        <v>56</v>
      </c>
      <c r="B57" s="2" t="s">
        <v>206</v>
      </c>
      <c r="C57" s="2" t="s">
        <v>77</v>
      </c>
      <c r="D57" s="2"/>
      <c r="E57" s="2" t="s">
        <v>41</v>
      </c>
      <c r="F57" s="3" t="s">
        <v>207</v>
      </c>
      <c r="G57" s="2" t="str">
        <f aca="false">IF(LEFT(F57,1)="3","Celular","Fijo")</f>
        <v>Celular</v>
      </c>
      <c r="H57" s="4" t="str">
        <f aca="false">IF(G57="Celular",HYPERLINK("https://wa.me/57"&amp;F57,"Abrir chat"),"")</f>
        <v>Abrir chat</v>
      </c>
      <c r="I57" s="2" t="s">
        <v>208</v>
      </c>
      <c r="J57" s="5" t="s">
        <v>22</v>
      </c>
      <c r="K57" s="6"/>
      <c r="L57" s="7" t="str">
        <f aca="false">IF(K57="","",K57+4)</f>
        <v/>
      </c>
      <c r="M57" s="5"/>
      <c r="N57" s="8" t="str">
        <f aca="false">IF(M57="","",INDEX(Planes!$B$4:$B$6,MATCH(M57,Planes!$A$4:$A$6,0)))</f>
        <v/>
      </c>
      <c r="O57" s="5" t="s">
        <v>23</v>
      </c>
      <c r="P57" s="5"/>
      <c r="Q57" s="4" t="str">
        <f aca="false">HYPERLINK("https://directorio-empresas.einforma.co/informacion-empresa/asados-tipicos-carbon-sas","Ver ficha")</f>
        <v>Ver ficha</v>
      </c>
    </row>
    <row r="58" customFormat="false" ht="15" hidden="false" customHeight="false" outlineLevel="0" collapsed="false">
      <c r="A58" s="2" t="n">
        <v>57</v>
      </c>
      <c r="B58" s="2" t="s">
        <v>209</v>
      </c>
      <c r="C58" s="2" t="s">
        <v>77</v>
      </c>
      <c r="D58" s="2"/>
      <c r="E58" s="2" t="s">
        <v>1</v>
      </c>
      <c r="F58" s="3" t="s">
        <v>210</v>
      </c>
      <c r="G58" s="2" t="str">
        <f aca="false">IF(LEFT(F58,1)="3","Celular","Fijo")</f>
        <v>Celular</v>
      </c>
      <c r="H58" s="4" t="str">
        <f aca="false">IF(G58="Celular",HYPERLINK("https://wa.me/57"&amp;F58,"Abrir chat"),"")</f>
        <v>Abrir chat</v>
      </c>
      <c r="I58" s="2" t="s">
        <v>211</v>
      </c>
      <c r="J58" s="5" t="s">
        <v>22</v>
      </c>
      <c r="K58" s="6"/>
      <c r="L58" s="7" t="str">
        <f aca="false">IF(K58="","",K58+4)</f>
        <v/>
      </c>
      <c r="M58" s="5"/>
      <c r="N58" s="8" t="str">
        <f aca="false">IF(M58="","",INDEX(Planes!$B$4:$B$6,MATCH(M58,Planes!$A$4:$A$6,0)))</f>
        <v/>
      </c>
      <c r="O58" s="5" t="s">
        <v>23</v>
      </c>
      <c r="P58" s="5"/>
      <c r="Q58" s="4" t="str">
        <f aca="false">HYPERLINK("https://www.informacolombia.com/directorio-empresas/informacion-empresa/casa-alimento-sas","Ver ficha")</f>
        <v>Ver ficha</v>
      </c>
    </row>
    <row r="59" customFormat="false" ht="15" hidden="false" customHeight="false" outlineLevel="0" collapsed="false">
      <c r="A59" s="2" t="n">
        <v>58</v>
      </c>
      <c r="B59" s="2" t="s">
        <v>212</v>
      </c>
      <c r="C59" s="2" t="s">
        <v>77</v>
      </c>
      <c r="D59" s="2" t="s">
        <v>213</v>
      </c>
      <c r="E59" s="2" t="s">
        <v>148</v>
      </c>
      <c r="F59" s="3" t="s">
        <v>214</v>
      </c>
      <c r="G59" s="2" t="str">
        <f aca="false">IF(LEFT(F59,1)="3","Celular","Fijo")</f>
        <v>Celular</v>
      </c>
      <c r="H59" s="4" t="str">
        <f aca="false">IF(G59="Celular",HYPERLINK("https://wa.me/57"&amp;F59,"Abrir chat"),"")</f>
        <v>Abrir chat</v>
      </c>
      <c r="I59" s="2" t="s">
        <v>215</v>
      </c>
      <c r="J59" s="5" t="s">
        <v>22</v>
      </c>
      <c r="K59" s="6"/>
      <c r="L59" s="7" t="str">
        <f aca="false">IF(K59="","",K59+4)</f>
        <v/>
      </c>
      <c r="M59" s="5"/>
      <c r="N59" s="8" t="str">
        <f aca="false">IF(M59="","",INDEX(Planes!$B$4:$B$6,MATCH(M59,Planes!$A$4:$A$6,0)))</f>
        <v/>
      </c>
      <c r="O59" s="5" t="s">
        <v>23</v>
      </c>
      <c r="P59" s="5"/>
      <c r="Q59" s="4" t="str">
        <f aca="false">HYPERLINK("https://www.informacolombia.com/directorio-empresas/informacion-empresa/distribuidora-gas-antioquia-aranjuez-sas","Ver ficha")</f>
        <v>Ver ficha</v>
      </c>
    </row>
    <row r="60" customFormat="false" ht="15" hidden="false" customHeight="false" outlineLevel="0" collapsed="false">
      <c r="A60" s="2" t="n">
        <v>59</v>
      </c>
      <c r="B60" s="2" t="s">
        <v>216</v>
      </c>
      <c r="C60" s="2" t="s">
        <v>77</v>
      </c>
      <c r="D60" s="2"/>
      <c r="E60" s="2" t="s">
        <v>217</v>
      </c>
      <c r="F60" s="3" t="s">
        <v>218</v>
      </c>
      <c r="G60" s="2" t="str">
        <f aca="false">IF(LEFT(F60,1)="3","Celular","Fijo")</f>
        <v>Celular</v>
      </c>
      <c r="H60" s="4" t="str">
        <f aca="false">IF(G60="Celular",HYPERLINK("https://wa.me/57"&amp;F60,"Abrir chat"),"")</f>
        <v>Abrir chat</v>
      </c>
      <c r="I60" s="2"/>
      <c r="J60" s="5" t="s">
        <v>22</v>
      </c>
      <c r="K60" s="6"/>
      <c r="L60" s="7" t="str">
        <f aca="false">IF(K60="","",K60+4)</f>
        <v/>
      </c>
      <c r="M60" s="5"/>
      <c r="N60" s="8" t="str">
        <f aca="false">IF(M60="","",INDEX(Planes!$B$4:$B$6,MATCH(M60,Planes!$A$4:$A$6,0)))</f>
        <v/>
      </c>
      <c r="O60" s="5" t="s">
        <v>23</v>
      </c>
      <c r="P60" s="5"/>
      <c r="Q60" s="4" t="str">
        <f aca="false">HYPERLINK("https://www.informacolombia.com/directorio-empresas/informacion-empresa/oculta-medellin-sas","Ver ficha")</f>
        <v>Ver ficha</v>
      </c>
    </row>
    <row r="61" customFormat="false" ht="15" hidden="false" customHeight="false" outlineLevel="0" collapsed="false">
      <c r="A61" s="2" t="n">
        <v>60</v>
      </c>
      <c r="B61" s="2" t="s">
        <v>219</v>
      </c>
      <c r="C61" s="2" t="s">
        <v>77</v>
      </c>
      <c r="D61" s="2"/>
      <c r="E61" s="2" t="s">
        <v>1</v>
      </c>
      <c r="F61" s="3" t="s">
        <v>220</v>
      </c>
      <c r="G61" s="2" t="str">
        <f aca="false">IF(LEFT(F61,1)="3","Celular","Fijo")</f>
        <v>Celular</v>
      </c>
      <c r="H61" s="4" t="str">
        <f aca="false">IF(G61="Celular",HYPERLINK("https://wa.me/57"&amp;F61,"Abrir chat"),"")</f>
        <v>Abrir chat</v>
      </c>
      <c r="I61" s="2"/>
      <c r="J61" s="5" t="s">
        <v>22</v>
      </c>
      <c r="K61" s="6"/>
      <c r="L61" s="7" t="str">
        <f aca="false">IF(K61="","",K61+4)</f>
        <v/>
      </c>
      <c r="M61" s="5"/>
      <c r="N61" s="8" t="str">
        <f aca="false">IF(M61="","",INDEX(Planes!$B$4:$B$6,MATCH(M61,Planes!$A$4:$A$6,0)))</f>
        <v/>
      </c>
      <c r="O61" s="5" t="s">
        <v>23</v>
      </c>
      <c r="P61" s="5"/>
      <c r="Q61" s="4" t="str">
        <f aca="false">HYPERLINK("https://directorio-empresas.einforma.co/informacion-empresa/ribera-restaurante-sas","Ver ficha")</f>
        <v>Ver ficha</v>
      </c>
    </row>
    <row r="62" customFormat="false" ht="15" hidden="false" customHeight="false" outlineLevel="0" collapsed="false">
      <c r="A62" s="2" t="n">
        <v>61</v>
      </c>
      <c r="B62" s="2" t="s">
        <v>221</v>
      </c>
      <c r="C62" s="2" t="s">
        <v>77</v>
      </c>
      <c r="D62" s="2"/>
      <c r="E62" s="2" t="s">
        <v>222</v>
      </c>
      <c r="F62" s="3" t="s">
        <v>223</v>
      </c>
      <c r="G62" s="2" t="str">
        <f aca="false">IF(LEFT(F62,1)="3","Celular","Fijo")</f>
        <v>Fijo</v>
      </c>
      <c r="H62" s="4" t="str">
        <f aca="false">IF(G62="Celular",HYPERLINK("https://wa.me/57"&amp;F62,"Abrir chat"),"")</f>
        <v/>
      </c>
      <c r="I62" s="2" t="s">
        <v>224</v>
      </c>
      <c r="J62" s="5" t="s">
        <v>22</v>
      </c>
      <c r="K62" s="6"/>
      <c r="L62" s="7" t="str">
        <f aca="false">IF(K62="","",K62+4)</f>
        <v/>
      </c>
      <c r="M62" s="5"/>
      <c r="N62" s="8" t="str">
        <f aca="false">IF(M62="","",INDEX(Planes!$B$4:$B$6,MATCH(M62,Planes!$A$4:$A$6,0)))</f>
        <v/>
      </c>
      <c r="O62" s="5" t="s">
        <v>47</v>
      </c>
      <c r="P62" s="5"/>
      <c r="Q62" s="4" t="str">
        <f aca="false">HYPERLINK("https://www.informacolombia.com/directorio-empresas/informacion-empresa/3p-italianas-sas","Ver ficha")</f>
        <v>Ver ficha</v>
      </c>
    </row>
    <row r="63" customFormat="false" ht="15" hidden="false" customHeight="false" outlineLevel="0" collapsed="false">
      <c r="A63" s="2" t="n">
        <v>62</v>
      </c>
      <c r="B63" s="2" t="s">
        <v>225</v>
      </c>
      <c r="C63" s="2" t="s">
        <v>77</v>
      </c>
      <c r="D63" s="2"/>
      <c r="E63" s="2" t="s">
        <v>92</v>
      </c>
      <c r="F63" s="3" t="s">
        <v>226</v>
      </c>
      <c r="G63" s="2" t="str">
        <f aca="false">IF(LEFT(F63,1)="3","Celular","Fijo")</f>
        <v>Fijo</v>
      </c>
      <c r="H63" s="4" t="str">
        <f aca="false">IF(G63="Celular",HYPERLINK("https://wa.me/57"&amp;F63,"Abrir chat"),"")</f>
        <v/>
      </c>
      <c r="I63" s="2" t="s">
        <v>227</v>
      </c>
      <c r="J63" s="5" t="s">
        <v>22</v>
      </c>
      <c r="K63" s="6"/>
      <c r="L63" s="7" t="str">
        <f aca="false">IF(K63="","",K63+4)</f>
        <v/>
      </c>
      <c r="M63" s="5"/>
      <c r="N63" s="8" t="str">
        <f aca="false">IF(M63="","",INDEX(Planes!$B$4:$B$6,MATCH(M63,Planes!$A$4:$A$6,0)))</f>
        <v/>
      </c>
      <c r="O63" s="5" t="s">
        <v>47</v>
      </c>
      <c r="P63" s="5"/>
      <c r="Q63" s="4" t="str">
        <f aca="false">HYPERLINK("https://directorio-empresas.einforma.co/informacion-empresa/tres-sas","Ver ficha")</f>
        <v>Ver ficha</v>
      </c>
    </row>
    <row r="64" customFormat="false" ht="15" hidden="false" customHeight="false" outlineLevel="0" collapsed="false">
      <c r="A64" s="2" t="n">
        <v>63</v>
      </c>
      <c r="B64" s="2" t="s">
        <v>228</v>
      </c>
      <c r="C64" s="2" t="s">
        <v>77</v>
      </c>
      <c r="D64" s="2"/>
      <c r="E64" s="2" t="s">
        <v>1</v>
      </c>
      <c r="F64" s="3" t="s">
        <v>229</v>
      </c>
      <c r="G64" s="2" t="str">
        <f aca="false">IF(LEFT(F64,1)="3","Celular","Fijo")</f>
        <v>Fijo</v>
      </c>
      <c r="H64" s="4" t="str">
        <f aca="false">IF(G64="Celular",HYPERLINK("https://wa.me/57"&amp;F64,"Abrir chat"),"")</f>
        <v/>
      </c>
      <c r="I64" s="2"/>
      <c r="J64" s="5" t="s">
        <v>22</v>
      </c>
      <c r="K64" s="6"/>
      <c r="L64" s="7" t="str">
        <f aca="false">IF(K64="","",K64+4)</f>
        <v/>
      </c>
      <c r="M64" s="5"/>
      <c r="N64" s="8" t="str">
        <f aca="false">IF(M64="","",INDEX(Planes!$B$4:$B$6,MATCH(M64,Planes!$A$4:$A$6,0)))</f>
        <v/>
      </c>
      <c r="O64" s="5" t="s">
        <v>47</v>
      </c>
      <c r="P64" s="5"/>
      <c r="Q64" s="4" t="str">
        <f aca="false">HYPERLINK("https://www.informacolombia.com/directorio-empresas/actividad/5611_EXPENDIO-A-LA-MESA-DE-COMIDAS-PREPARADAS?qPg=17","Ver ficha")</f>
        <v>Ver ficha</v>
      </c>
    </row>
    <row r="65" customFormat="false" ht="15" hidden="false" customHeight="false" outlineLevel="0" collapsed="false">
      <c r="A65" s="2" t="n">
        <v>64</v>
      </c>
      <c r="B65" s="2" t="s">
        <v>230</v>
      </c>
      <c r="C65" s="2" t="s">
        <v>77</v>
      </c>
      <c r="D65" s="2" t="s">
        <v>88</v>
      </c>
      <c r="E65" s="2" t="s">
        <v>108</v>
      </c>
      <c r="F65" s="3" t="s">
        <v>231</v>
      </c>
      <c r="G65" s="2" t="str">
        <f aca="false">IF(LEFT(F65,1)="3","Celular","Fijo")</f>
        <v>Fijo</v>
      </c>
      <c r="H65" s="4" t="str">
        <f aca="false">IF(G65="Celular",HYPERLINK("https://wa.me/57"&amp;F65,"Abrir chat"),"")</f>
        <v/>
      </c>
      <c r="I65" s="2" t="s">
        <v>232</v>
      </c>
      <c r="J65" s="5" t="s">
        <v>22</v>
      </c>
      <c r="K65" s="6"/>
      <c r="L65" s="7" t="str">
        <f aca="false">IF(K65="","",K65+4)</f>
        <v/>
      </c>
      <c r="M65" s="5"/>
      <c r="N65" s="8" t="str">
        <f aca="false">IF(M65="","",INDEX(Planes!$B$4:$B$6,MATCH(M65,Planes!$A$4:$A$6,0)))</f>
        <v/>
      </c>
      <c r="O65" s="5" t="s">
        <v>47</v>
      </c>
      <c r="P65" s="5"/>
      <c r="Q65" s="4" t="str">
        <f aca="false">HYPERLINK("https://www.informacolombia.com/directorio-empresas/informacion-empresa/laureles-peruano-sas","Ver ficha")</f>
        <v>Ver ficha</v>
      </c>
    </row>
    <row r="66" customFormat="false" ht="15" hidden="false" customHeight="false" outlineLevel="0" collapsed="false">
      <c r="A66" s="2" t="n">
        <v>65</v>
      </c>
      <c r="B66" s="2" t="s">
        <v>233</v>
      </c>
      <c r="C66" s="2" t="s">
        <v>77</v>
      </c>
      <c r="D66" s="2"/>
      <c r="E66" s="2" t="s">
        <v>1</v>
      </c>
      <c r="F66" s="3" t="s">
        <v>234</v>
      </c>
      <c r="G66" s="2" t="str">
        <f aca="false">IF(LEFT(F66,1)="3","Celular","Fijo")</f>
        <v>Fijo</v>
      </c>
      <c r="H66" s="4" t="str">
        <f aca="false">IF(G66="Celular",HYPERLINK("https://wa.me/57"&amp;F66,"Abrir chat"),"")</f>
        <v/>
      </c>
      <c r="I66" s="2"/>
      <c r="J66" s="5" t="s">
        <v>22</v>
      </c>
      <c r="K66" s="6"/>
      <c r="L66" s="7" t="str">
        <f aca="false">IF(K66="","",K66+4)</f>
        <v/>
      </c>
      <c r="M66" s="5"/>
      <c r="N66" s="8" t="str">
        <f aca="false">IF(M66="","",INDEX(Planes!$B$4:$B$6,MATCH(M66,Planes!$A$4:$A$6,0)))</f>
        <v/>
      </c>
      <c r="O66" s="5" t="s">
        <v>47</v>
      </c>
      <c r="P66" s="5"/>
      <c r="Q66" s="4" t="str">
        <f aca="false">HYPERLINK("https://www.informacolombia.com/directorio-empresas/actividad/5611_EXPENDIO-A-LA-MESA-DE-COMIDAS-PREPARADAS/localidad_medellin?qPg=2","Ver ficha")</f>
        <v>Ver ficha</v>
      </c>
    </row>
    <row r="67" customFormat="false" ht="15" hidden="false" customHeight="false" outlineLevel="0" collapsed="false">
      <c r="A67" s="2" t="n">
        <v>66</v>
      </c>
      <c r="B67" s="2" t="s">
        <v>235</v>
      </c>
      <c r="C67" s="2" t="s">
        <v>77</v>
      </c>
      <c r="D67" s="2" t="s">
        <v>88</v>
      </c>
      <c r="E67" s="2" t="s">
        <v>96</v>
      </c>
      <c r="F67" s="3" t="s">
        <v>236</v>
      </c>
      <c r="G67" s="2" t="str">
        <f aca="false">IF(LEFT(F67,1)="3","Celular","Fijo")</f>
        <v>Celular</v>
      </c>
      <c r="H67" s="4" t="str">
        <f aca="false">IF(G67="Celular",HYPERLINK("https://wa.me/57"&amp;F67,"Abrir chat"),"")</f>
        <v>Abrir chat</v>
      </c>
      <c r="I67" s="2" t="s">
        <v>237</v>
      </c>
      <c r="J67" s="5" t="s">
        <v>22</v>
      </c>
      <c r="K67" s="6"/>
      <c r="L67" s="7" t="str">
        <f aca="false">IF(K67="","",K67+4)</f>
        <v/>
      </c>
      <c r="M67" s="5"/>
      <c r="N67" s="8" t="str">
        <f aca="false">IF(M67="","",INDEX(Planes!$B$4:$B$6,MATCH(M67,Planes!$A$4:$A$6,0)))</f>
        <v/>
      </c>
      <c r="O67" s="5" t="s">
        <v>23</v>
      </c>
      <c r="P67" s="5"/>
      <c r="Q67" s="4" t="str">
        <f aca="false">HYPERLINK("https://directorio-empresas.einforma.co/informacion-empresa/chamos-arepas-venezolanas-algo-mas-sas","Ver ficha")</f>
        <v>Ver ficha</v>
      </c>
    </row>
    <row r="68" customFormat="false" ht="15" hidden="false" customHeight="false" outlineLevel="0" collapsed="false">
      <c r="A68" s="2" t="n">
        <v>67</v>
      </c>
      <c r="B68" s="2" t="s">
        <v>238</v>
      </c>
      <c r="C68" s="2" t="s">
        <v>77</v>
      </c>
      <c r="D68" s="2"/>
      <c r="E68" s="2" t="s">
        <v>1</v>
      </c>
      <c r="F68" s="3" t="s">
        <v>239</v>
      </c>
      <c r="G68" s="2" t="str">
        <f aca="false">IF(LEFT(F68,1)="3","Celular","Fijo")</f>
        <v>Fijo</v>
      </c>
      <c r="H68" s="4" t="str">
        <f aca="false">IF(G68="Celular",HYPERLINK("https://wa.me/57"&amp;F68,"Abrir chat"),"")</f>
        <v/>
      </c>
      <c r="I68" s="2" t="s">
        <v>240</v>
      </c>
      <c r="J68" s="5" t="s">
        <v>22</v>
      </c>
      <c r="K68" s="6"/>
      <c r="L68" s="7" t="str">
        <f aca="false">IF(K68="","",K68+4)</f>
        <v/>
      </c>
      <c r="M68" s="5"/>
      <c r="N68" s="8" t="str">
        <f aca="false">IF(M68="","",INDEX(Planes!$B$4:$B$6,MATCH(M68,Planes!$A$4:$A$6,0)))</f>
        <v/>
      </c>
      <c r="O68" s="5" t="s">
        <v>47</v>
      </c>
      <c r="P68" s="5"/>
      <c r="Q68" s="4" t="str">
        <f aca="false">HYPERLINK("https://directorio-empresas.einforma.co/informacion-empresa/mal-sentados-sas","Ver ficha")</f>
        <v>Ver ficha</v>
      </c>
    </row>
    <row r="69" customFormat="false" ht="15" hidden="false" customHeight="false" outlineLevel="0" collapsed="false">
      <c r="A69" s="2" t="n">
        <v>68</v>
      </c>
      <c r="B69" s="2" t="s">
        <v>241</v>
      </c>
      <c r="C69" s="2" t="s">
        <v>77</v>
      </c>
      <c r="D69" s="2" t="s">
        <v>88</v>
      </c>
      <c r="E69" s="2" t="s">
        <v>1</v>
      </c>
      <c r="F69" s="3" t="s">
        <v>242</v>
      </c>
      <c r="G69" s="2" t="str">
        <f aca="false">IF(LEFT(F69,1)="3","Celular","Fijo")</f>
        <v>Celular</v>
      </c>
      <c r="H69" s="4" t="str">
        <f aca="false">IF(G69="Celular",HYPERLINK("https://wa.me/57"&amp;F69,"Abrir chat"),"")</f>
        <v>Abrir chat</v>
      </c>
      <c r="I69" s="2" t="s">
        <v>243</v>
      </c>
      <c r="J69" s="5" t="s">
        <v>22</v>
      </c>
      <c r="K69" s="6"/>
      <c r="L69" s="7" t="str">
        <f aca="false">IF(K69="","",K69+4)</f>
        <v/>
      </c>
      <c r="M69" s="5"/>
      <c r="N69" s="8" t="str">
        <f aca="false">IF(M69="","",INDEX(Planes!$B$4:$B$6,MATCH(M69,Planes!$A$4:$A$6,0)))</f>
        <v/>
      </c>
      <c r="O69" s="5" t="s">
        <v>23</v>
      </c>
      <c r="P69" s="5"/>
      <c r="Q69" s="4" t="str">
        <f aca="false">HYPERLINK("https://www.informacolombia.com/directorio-empresas/informacion-empresa/love-restaurant-sas","Ver ficha")</f>
        <v>Ver ficha</v>
      </c>
    </row>
    <row r="70" customFormat="false" ht="15" hidden="false" customHeight="false" outlineLevel="0" collapsed="false">
      <c r="A70" s="2" t="n">
        <v>69</v>
      </c>
      <c r="B70" s="2" t="s">
        <v>244</v>
      </c>
      <c r="C70" s="2" t="s">
        <v>77</v>
      </c>
      <c r="D70" s="2" t="s">
        <v>88</v>
      </c>
      <c r="E70" s="2" t="s">
        <v>1</v>
      </c>
      <c r="F70" s="3" t="s">
        <v>245</v>
      </c>
      <c r="G70" s="2" t="str">
        <f aca="false">IF(LEFT(F70,1)="3","Celular","Fijo")</f>
        <v>Celular</v>
      </c>
      <c r="H70" s="4" t="str">
        <f aca="false">IF(G70="Celular",HYPERLINK("https://wa.me/57"&amp;F70,"Abrir chat"),"")</f>
        <v>Abrir chat</v>
      </c>
      <c r="I70" s="2" t="s">
        <v>246</v>
      </c>
      <c r="J70" s="5" t="s">
        <v>22</v>
      </c>
      <c r="K70" s="6"/>
      <c r="L70" s="7" t="str">
        <f aca="false">IF(K70="","",K70+4)</f>
        <v/>
      </c>
      <c r="M70" s="5"/>
      <c r="N70" s="8" t="str">
        <f aca="false">IF(M70="","",INDEX(Planes!$B$4:$B$6,MATCH(M70,Planes!$A$4:$A$6,0)))</f>
        <v/>
      </c>
      <c r="O70" s="5" t="s">
        <v>23</v>
      </c>
      <c r="P70" s="5"/>
      <c r="Q70" s="4" t="str">
        <f aca="false">HYPERLINK("https://www.informacolombia.com/directorio-empresas/informacion-empresa/lu-mara-restaurante-sas","Ver ficha")</f>
        <v>Ver ficha</v>
      </c>
    </row>
    <row r="71" customFormat="false" ht="15" hidden="false" customHeight="false" outlineLevel="0" collapsed="false">
      <c r="A71" s="2" t="n">
        <v>70</v>
      </c>
      <c r="B71" s="2" t="s">
        <v>247</v>
      </c>
      <c r="C71" s="2" t="s">
        <v>77</v>
      </c>
      <c r="D71" s="2" t="s">
        <v>88</v>
      </c>
      <c r="E71" s="2" t="s">
        <v>1</v>
      </c>
      <c r="F71" s="3" t="s">
        <v>248</v>
      </c>
      <c r="G71" s="2" t="str">
        <f aca="false">IF(LEFT(F71,1)="3","Celular","Fijo")</f>
        <v>Celular</v>
      </c>
      <c r="H71" s="4" t="str">
        <f aca="false">IF(G71="Celular",HYPERLINK("https://wa.me/57"&amp;F71,"Abrir chat"),"")</f>
        <v>Abrir chat</v>
      </c>
      <c r="I71" s="2" t="s">
        <v>249</v>
      </c>
      <c r="J71" s="5" t="s">
        <v>22</v>
      </c>
      <c r="K71" s="6"/>
      <c r="L71" s="7" t="str">
        <f aca="false">IF(K71="","",K71+4)</f>
        <v/>
      </c>
      <c r="M71" s="5"/>
      <c r="N71" s="8" t="str">
        <f aca="false">IF(M71="","",INDEX(Planes!$B$4:$B$6,MATCH(M71,Planes!$A$4:$A$6,0)))</f>
        <v/>
      </c>
      <c r="O71" s="5" t="s">
        <v>23</v>
      </c>
      <c r="P71" s="5"/>
      <c r="Q71" s="4" t="str">
        <f aca="false">HYPERLINK("https://www.informacolombia.com/directorio-empresas/informacion-empresa/makabro-salvaje-sas","Ver ficha")</f>
        <v>Ver ficha</v>
      </c>
    </row>
    <row r="72" customFormat="false" ht="15" hidden="false" customHeight="false" outlineLevel="0" collapsed="false">
      <c r="A72" s="2" t="n">
        <v>71</v>
      </c>
      <c r="B72" s="2" t="s">
        <v>250</v>
      </c>
      <c r="C72" s="2" t="s">
        <v>77</v>
      </c>
      <c r="D72" s="2"/>
      <c r="E72" s="2" t="s">
        <v>34</v>
      </c>
      <c r="F72" s="3" t="s">
        <v>251</v>
      </c>
      <c r="G72" s="2" t="str">
        <f aca="false">IF(LEFT(F72,1)="3","Celular","Fijo")</f>
        <v>Celular</v>
      </c>
      <c r="H72" s="4" t="str">
        <f aca="false">IF(G72="Celular",HYPERLINK("https://wa.me/57"&amp;F72,"Abrir chat"),"")</f>
        <v>Abrir chat</v>
      </c>
      <c r="I72" s="2" t="s">
        <v>252</v>
      </c>
      <c r="J72" s="5" t="s">
        <v>22</v>
      </c>
      <c r="K72" s="6"/>
      <c r="L72" s="7" t="str">
        <f aca="false">IF(K72="","",K72+4)</f>
        <v/>
      </c>
      <c r="M72" s="5"/>
      <c r="N72" s="8" t="str">
        <f aca="false">IF(M72="","",INDEX(Planes!$B$4:$B$6,MATCH(M72,Planes!$A$4:$A$6,0)))</f>
        <v/>
      </c>
      <c r="O72" s="5" t="s">
        <v>23</v>
      </c>
      <c r="P72" s="5"/>
      <c r="Q72" s="4" t="str">
        <f aca="false">HYPERLINK("https://www.informacolombia.com/directorio-empresas/informacion-empresa/medellin-777-sas","Ver ficha")</f>
        <v>Ver ficha</v>
      </c>
    </row>
    <row r="73" customFormat="false" ht="15" hidden="false" customHeight="false" outlineLevel="0" collapsed="false">
      <c r="A73" s="2" t="n">
        <v>72</v>
      </c>
      <c r="B73" s="2" t="s">
        <v>253</v>
      </c>
      <c r="C73" s="2" t="s">
        <v>77</v>
      </c>
      <c r="D73" s="2"/>
      <c r="E73" s="2" t="s">
        <v>54</v>
      </c>
      <c r="F73" s="3" t="s">
        <v>254</v>
      </c>
      <c r="G73" s="2" t="str">
        <f aca="false">IF(LEFT(F73,1)="3","Celular","Fijo")</f>
        <v>Celular</v>
      </c>
      <c r="H73" s="4" t="str">
        <f aca="false">IF(G73="Celular",HYPERLINK("https://wa.me/57"&amp;F73,"Abrir chat"),"")</f>
        <v>Abrir chat</v>
      </c>
      <c r="I73" s="2"/>
      <c r="J73" s="5" t="s">
        <v>22</v>
      </c>
      <c r="K73" s="6"/>
      <c r="L73" s="7" t="str">
        <f aca="false">IF(K73="","",K73+4)</f>
        <v/>
      </c>
      <c r="M73" s="5"/>
      <c r="N73" s="8" t="str">
        <f aca="false">IF(M73="","",INDEX(Planes!$B$4:$B$6,MATCH(M73,Planes!$A$4:$A$6,0)))</f>
        <v/>
      </c>
      <c r="O73" s="5" t="s">
        <v>23</v>
      </c>
      <c r="P73" s="5"/>
      <c r="Q73" s="4" t="str">
        <f aca="false">HYPERLINK("https://www.informacolombia.com/directorio-empresas/actividad/5611_EXPENDIO-A-LA-MESA-DE-COMIDAS-PREPARADAS/localidad_medellin?qPg=2","Ver ficha")</f>
        <v>Ver ficha</v>
      </c>
    </row>
    <row r="74" customFormat="false" ht="15" hidden="false" customHeight="false" outlineLevel="0" collapsed="false">
      <c r="A74" s="2" t="n">
        <v>73</v>
      </c>
      <c r="B74" s="2" t="s">
        <v>255</v>
      </c>
      <c r="C74" s="2" t="s">
        <v>77</v>
      </c>
      <c r="D74" s="2"/>
      <c r="E74" s="2" t="s">
        <v>131</v>
      </c>
      <c r="F74" s="3" t="s">
        <v>256</v>
      </c>
      <c r="G74" s="2" t="str">
        <f aca="false">IF(LEFT(F74,1)="3","Celular","Fijo")</f>
        <v>Celular</v>
      </c>
      <c r="H74" s="4" t="str">
        <f aca="false">IF(G74="Celular",HYPERLINK("https://wa.me/57"&amp;F74,"Abrir chat"),"")</f>
        <v>Abrir chat</v>
      </c>
      <c r="I74" s="2"/>
      <c r="J74" s="5" t="s">
        <v>22</v>
      </c>
      <c r="K74" s="6"/>
      <c r="L74" s="7" t="str">
        <f aca="false">IF(K74="","",K74+4)</f>
        <v/>
      </c>
      <c r="M74" s="5"/>
      <c r="N74" s="8" t="str">
        <f aca="false">IF(M74="","",INDEX(Planes!$B$4:$B$6,MATCH(M74,Planes!$A$4:$A$6,0)))</f>
        <v/>
      </c>
      <c r="O74" s="5" t="s">
        <v>23</v>
      </c>
      <c r="P74" s="5"/>
      <c r="Q74" s="4" t="str">
        <f aca="false">HYPERLINK("https://www.informacolombia.com/directorio-empresas/informacion-empresa/molido-cafe-pan-sas","Ver ficha")</f>
        <v>Ver ficha</v>
      </c>
    </row>
    <row r="75" customFormat="false" ht="15" hidden="false" customHeight="false" outlineLevel="0" collapsed="false">
      <c r="A75" s="2" t="n">
        <v>74</v>
      </c>
      <c r="B75" s="2" t="s">
        <v>257</v>
      </c>
      <c r="C75" s="2" t="s">
        <v>77</v>
      </c>
      <c r="D75" s="2" t="s">
        <v>258</v>
      </c>
      <c r="E75" s="2" t="s">
        <v>259</v>
      </c>
      <c r="F75" s="3" t="s">
        <v>260</v>
      </c>
      <c r="G75" s="2" t="str">
        <f aca="false">IF(LEFT(F75,1)="3","Celular","Fijo")</f>
        <v>Celular</v>
      </c>
      <c r="H75" s="4" t="str">
        <f aca="false">IF(G75="Celular",HYPERLINK("https://wa.me/57"&amp;F75,"Abrir chat"),"")</f>
        <v>Abrir chat</v>
      </c>
      <c r="I75" s="2" t="s">
        <v>261</v>
      </c>
      <c r="J75" s="5" t="s">
        <v>22</v>
      </c>
      <c r="K75" s="6"/>
      <c r="L75" s="7" t="str">
        <f aca="false">IF(K75="","",K75+4)</f>
        <v/>
      </c>
      <c r="M75" s="5"/>
      <c r="N75" s="8" t="str">
        <f aca="false">IF(M75="","",INDEX(Planes!$B$4:$B$6,MATCH(M75,Planes!$A$4:$A$6,0)))</f>
        <v/>
      </c>
      <c r="O75" s="5" t="s">
        <v>23</v>
      </c>
      <c r="P75" s="5"/>
      <c r="Q75" s="4" t="str">
        <f aca="false">HYPERLINK("https://directorio-empresas.einforma.co/informacion-empresa/mondongos-colombia-sas","Ver ficha")</f>
        <v>Ver ficha</v>
      </c>
    </row>
    <row r="76" customFormat="false" ht="15" hidden="false" customHeight="false" outlineLevel="0" collapsed="false">
      <c r="A76" s="2" t="n">
        <v>75</v>
      </c>
      <c r="B76" s="2" t="s">
        <v>262</v>
      </c>
      <c r="C76" s="2" t="s">
        <v>77</v>
      </c>
      <c r="D76" s="2" t="s">
        <v>78</v>
      </c>
      <c r="E76" s="2" t="s">
        <v>263</v>
      </c>
      <c r="F76" s="3" t="s">
        <v>264</v>
      </c>
      <c r="G76" s="2" t="str">
        <f aca="false">IF(LEFT(F76,1)="3","Celular","Fijo")</f>
        <v>Fijo</v>
      </c>
      <c r="H76" s="4" t="str">
        <f aca="false">IF(G76="Celular",HYPERLINK("https://wa.me/57"&amp;F76,"Abrir chat"),"")</f>
        <v/>
      </c>
      <c r="I76" s="2" t="s">
        <v>265</v>
      </c>
      <c r="J76" s="5" t="s">
        <v>22</v>
      </c>
      <c r="K76" s="6"/>
      <c r="L76" s="7" t="str">
        <f aca="false">IF(K76="","",K76+4)</f>
        <v/>
      </c>
      <c r="M76" s="5"/>
      <c r="N76" s="8" t="str">
        <f aca="false">IF(M76="","",INDEX(Planes!$B$4:$B$6,MATCH(M76,Planes!$A$4:$A$6,0)))</f>
        <v/>
      </c>
      <c r="O76" s="5" t="s">
        <v>47</v>
      </c>
      <c r="P76" s="5"/>
      <c r="Q76" s="4" t="str">
        <f aca="false">HYPERLINK("https://directorio-empresas.einforma.co/informacion-empresa/mundo-verde-salud-gourmet-sa","Ver ficha")</f>
        <v>Ver ficha</v>
      </c>
    </row>
    <row r="77" customFormat="false" ht="15" hidden="false" customHeight="false" outlineLevel="0" collapsed="false">
      <c r="A77" s="2" t="n">
        <v>76</v>
      </c>
      <c r="B77" s="2" t="s">
        <v>266</v>
      </c>
      <c r="C77" s="2" t="s">
        <v>77</v>
      </c>
      <c r="D77" s="2" t="s">
        <v>88</v>
      </c>
      <c r="E77" s="2" t="s">
        <v>1</v>
      </c>
      <c r="F77" s="3" t="s">
        <v>267</v>
      </c>
      <c r="G77" s="2" t="str">
        <f aca="false">IF(LEFT(F77,1)="3","Celular","Fijo")</f>
        <v>Celular</v>
      </c>
      <c r="H77" s="4" t="str">
        <f aca="false">IF(G77="Celular",HYPERLINK("https://wa.me/57"&amp;F77,"Abrir chat"),"")</f>
        <v>Abrir chat</v>
      </c>
      <c r="I77" s="2" t="s">
        <v>268</v>
      </c>
      <c r="J77" s="5" t="s">
        <v>22</v>
      </c>
      <c r="K77" s="6"/>
      <c r="L77" s="7" t="str">
        <f aca="false">IF(K77="","",K77+4)</f>
        <v/>
      </c>
      <c r="M77" s="5"/>
      <c r="N77" s="8" t="str">
        <f aca="false">IF(M77="","",INDEX(Planes!$B$4:$B$6,MATCH(M77,Planes!$A$4:$A$6,0)))</f>
        <v/>
      </c>
      <c r="O77" s="5" t="s">
        <v>23</v>
      </c>
      <c r="P77" s="5"/>
      <c r="Q77" s="4" t="str">
        <f aca="false">HYPERLINK("https://www.informacolombia.com/directorio-empresas/informacion-empresa/3-sibaritas-sas","Ver ficha")</f>
        <v>Ver ficha</v>
      </c>
    </row>
    <row r="78" customFormat="false" ht="15" hidden="false" customHeight="false" outlineLevel="0" collapsed="false">
      <c r="A78" s="2" t="n">
        <v>77</v>
      </c>
      <c r="B78" s="2" t="s">
        <v>269</v>
      </c>
      <c r="C78" s="2" t="s">
        <v>77</v>
      </c>
      <c r="D78" s="2"/>
      <c r="E78" s="2" t="s">
        <v>1</v>
      </c>
      <c r="F78" s="3" t="s">
        <v>270</v>
      </c>
      <c r="G78" s="2" t="str">
        <f aca="false">IF(LEFT(F78,1)="3","Celular","Fijo")</f>
        <v>Celular</v>
      </c>
      <c r="H78" s="4" t="str">
        <f aca="false">IF(G78="Celular",HYPERLINK("https://wa.me/57"&amp;F78,"Abrir chat"),"")</f>
        <v>Abrir chat</v>
      </c>
      <c r="I78" s="2"/>
      <c r="J78" s="5" t="s">
        <v>22</v>
      </c>
      <c r="K78" s="6"/>
      <c r="L78" s="7" t="str">
        <f aca="false">IF(K78="","",K78+4)</f>
        <v/>
      </c>
      <c r="M78" s="5"/>
      <c r="N78" s="8" t="str">
        <f aca="false">IF(M78="","",INDEX(Planes!$B$4:$B$6,MATCH(M78,Planes!$A$4:$A$6,0)))</f>
        <v/>
      </c>
      <c r="O78" s="5" t="s">
        <v>23</v>
      </c>
      <c r="P78" s="5"/>
      <c r="Q78" s="4" t="str">
        <f aca="false">HYPERLINK("https://www.informacolombia.com/directorio-empresas/actividad/560_ACTIVIDADES-DE-SERVICIOS-DE-COMIDAS-Y-BEBIDAS","Ver ficha")</f>
        <v>Ver ficha</v>
      </c>
    </row>
    <row r="79" customFormat="false" ht="15" hidden="false" customHeight="false" outlineLevel="0" collapsed="false">
      <c r="A79" s="2" t="n">
        <v>78</v>
      </c>
      <c r="B79" s="2" t="s">
        <v>271</v>
      </c>
      <c r="C79" s="2" t="s">
        <v>77</v>
      </c>
      <c r="D79" s="2" t="s">
        <v>78</v>
      </c>
      <c r="E79" s="2" t="s">
        <v>1</v>
      </c>
      <c r="F79" s="3" t="s">
        <v>272</v>
      </c>
      <c r="G79" s="2" t="str">
        <f aca="false">IF(LEFT(F79,1)="3","Celular","Fijo")</f>
        <v>Celular</v>
      </c>
      <c r="H79" s="4" t="str">
        <f aca="false">IF(G79="Celular",HYPERLINK("https://wa.me/57"&amp;F79,"Abrir chat"),"")</f>
        <v>Abrir chat</v>
      </c>
      <c r="I79" s="2" t="s">
        <v>273</v>
      </c>
      <c r="J79" s="5" t="s">
        <v>22</v>
      </c>
      <c r="K79" s="6"/>
      <c r="L79" s="7" t="str">
        <f aca="false">IF(K79="","",K79+4)</f>
        <v/>
      </c>
      <c r="M79" s="5"/>
      <c r="N79" s="8" t="str">
        <f aca="false">IF(M79="","",INDEX(Planes!$B$4:$B$6,MATCH(M79,Planes!$A$4:$A$6,0)))</f>
        <v/>
      </c>
      <c r="O79" s="5" t="s">
        <v>23</v>
      </c>
      <c r="P79" s="5"/>
      <c r="Q79" s="4" t="str">
        <f aca="false">HYPERLINK("https://directorio-empresas.einforma.co/informacion-empresa/niku-cartagena-sas","Ver ficha")</f>
        <v>Ver ficha</v>
      </c>
    </row>
    <row r="80" customFormat="false" ht="15" hidden="false" customHeight="false" outlineLevel="0" collapsed="false">
      <c r="A80" s="2" t="n">
        <v>79</v>
      </c>
      <c r="B80" s="2" t="s">
        <v>274</v>
      </c>
      <c r="C80" s="2" t="s">
        <v>77</v>
      </c>
      <c r="D80" s="2"/>
      <c r="E80" s="2" t="s">
        <v>1</v>
      </c>
      <c r="F80" s="3" t="s">
        <v>275</v>
      </c>
      <c r="G80" s="2" t="str">
        <f aca="false">IF(LEFT(F80,1)="3","Celular","Fijo")</f>
        <v>Fijo</v>
      </c>
      <c r="H80" s="4" t="str">
        <f aca="false">IF(G80="Celular",HYPERLINK("https://wa.me/57"&amp;F80,"Abrir chat"),"")</f>
        <v/>
      </c>
      <c r="I80" s="2" t="s">
        <v>276</v>
      </c>
      <c r="J80" s="5" t="s">
        <v>22</v>
      </c>
      <c r="K80" s="6"/>
      <c r="L80" s="7" t="str">
        <f aca="false">IF(K80="","",K80+4)</f>
        <v/>
      </c>
      <c r="M80" s="5"/>
      <c r="N80" s="8" t="str">
        <f aca="false">IF(M80="","",INDEX(Planes!$B$4:$B$6,MATCH(M80,Planes!$A$4:$A$6,0)))</f>
        <v/>
      </c>
      <c r="O80" s="5" t="s">
        <v>47</v>
      </c>
      <c r="P80" s="5"/>
      <c r="Q80" s="4" t="str">
        <f aca="false">HYPERLINK("https://www.informacolombia.com/directorio-empresas/informacion-empresa/nutriendo-almas-sas","Ver ficha")</f>
        <v>Ver ficha</v>
      </c>
    </row>
    <row r="81" customFormat="false" ht="15" hidden="false" customHeight="false" outlineLevel="0" collapsed="false">
      <c r="A81" s="2" t="n">
        <v>80</v>
      </c>
      <c r="B81" s="2" t="s">
        <v>277</v>
      </c>
      <c r="C81" s="2" t="s">
        <v>77</v>
      </c>
      <c r="D81" s="2"/>
      <c r="E81" s="2" t="s">
        <v>25</v>
      </c>
      <c r="F81" s="3" t="s">
        <v>278</v>
      </c>
      <c r="G81" s="2" t="str">
        <f aca="false">IF(LEFT(F81,1)="3","Celular","Fijo")</f>
        <v>Celular</v>
      </c>
      <c r="H81" s="4" t="str">
        <f aca="false">IF(G81="Celular",HYPERLINK("https://wa.me/57"&amp;F81,"Abrir chat"),"")</f>
        <v>Abrir chat</v>
      </c>
      <c r="I81" s="2" t="s">
        <v>279</v>
      </c>
      <c r="J81" s="5" t="s">
        <v>22</v>
      </c>
      <c r="K81" s="6"/>
      <c r="L81" s="7" t="str">
        <f aca="false">IF(K81="","",K81+4)</f>
        <v/>
      </c>
      <c r="M81" s="5"/>
      <c r="N81" s="8" t="str">
        <f aca="false">IF(M81="","",INDEX(Planes!$B$4:$B$6,MATCH(M81,Planes!$A$4:$A$6,0)))</f>
        <v/>
      </c>
      <c r="O81" s="5" t="s">
        <v>23</v>
      </c>
      <c r="P81" s="5"/>
      <c r="Q81" s="4" t="str">
        <f aca="false">HYPERLINK("https://www.informacolombia.com/directorio-empresas/informacion-empresa/oasis-club-cafe-sas","Ver ficha")</f>
        <v>Ver ficha</v>
      </c>
    </row>
    <row r="82" customFormat="false" ht="15" hidden="false" customHeight="false" outlineLevel="0" collapsed="false">
      <c r="A82" s="2" t="n">
        <v>81</v>
      </c>
      <c r="B82" s="2" t="s">
        <v>280</v>
      </c>
      <c r="C82" s="2" t="s">
        <v>77</v>
      </c>
      <c r="D82" s="2"/>
      <c r="E82" s="2" t="s">
        <v>19</v>
      </c>
      <c r="F82" s="3" t="s">
        <v>281</v>
      </c>
      <c r="G82" s="2" t="str">
        <f aca="false">IF(LEFT(F82,1)="3","Celular","Fijo")</f>
        <v>Celular</v>
      </c>
      <c r="H82" s="4" t="str">
        <f aca="false">IF(G82="Celular",HYPERLINK("https://wa.me/57"&amp;F82,"Abrir chat"),"")</f>
        <v>Abrir chat</v>
      </c>
      <c r="I82" s="2" t="s">
        <v>282</v>
      </c>
      <c r="J82" s="5" t="s">
        <v>22</v>
      </c>
      <c r="K82" s="6"/>
      <c r="L82" s="7" t="str">
        <f aca="false">IF(K82="","",K82+4)</f>
        <v/>
      </c>
      <c r="M82" s="5"/>
      <c r="N82" s="8" t="str">
        <f aca="false">IF(M82="","",INDEX(Planes!$B$4:$B$6,MATCH(M82,Planes!$A$4:$A$6,0)))</f>
        <v/>
      </c>
      <c r="O82" s="5" t="s">
        <v>23</v>
      </c>
      <c r="P82" s="5"/>
      <c r="Q82" s="4" t="str">
        <f aca="false">HYPERLINK("https://www.informacolombia.com/directorio-empresas/informacion-empresa/office-burger-family-sas","Ver ficha")</f>
        <v>Ver ficha</v>
      </c>
    </row>
    <row r="83" customFormat="false" ht="15" hidden="false" customHeight="false" outlineLevel="0" collapsed="false">
      <c r="A83" s="2" t="n">
        <v>82</v>
      </c>
      <c r="B83" s="2" t="s">
        <v>283</v>
      </c>
      <c r="C83" s="2" t="s">
        <v>77</v>
      </c>
      <c r="D83" s="2" t="s">
        <v>78</v>
      </c>
      <c r="E83" s="2" t="s">
        <v>1</v>
      </c>
      <c r="F83" s="3" t="s">
        <v>284</v>
      </c>
      <c r="G83" s="2" t="str">
        <f aca="false">IF(LEFT(F83,1)="3","Celular","Fijo")</f>
        <v>Celular</v>
      </c>
      <c r="H83" s="4" t="str">
        <f aca="false">IF(G83="Celular",HYPERLINK("https://wa.me/57"&amp;F83,"Abrir chat"),"")</f>
        <v>Abrir chat</v>
      </c>
      <c r="I83" s="2" t="s">
        <v>285</v>
      </c>
      <c r="J83" s="5" t="s">
        <v>22</v>
      </c>
      <c r="K83" s="6"/>
      <c r="L83" s="7" t="str">
        <f aca="false">IF(K83="","",K83+4)</f>
        <v/>
      </c>
      <c r="M83" s="5"/>
      <c r="N83" s="8" t="str">
        <f aca="false">IF(M83="","",INDEX(Planes!$B$4:$B$6,MATCH(M83,Planes!$A$4:$A$6,0)))</f>
        <v/>
      </c>
      <c r="O83" s="5" t="s">
        <v>23</v>
      </c>
      <c r="P83" s="5"/>
      <c r="Q83" s="4" t="str">
        <f aca="false">HYPERLINK("https://directorio-empresas.einforma.co/informacion-empresa/oni-medellin-sas","Ver ficha")</f>
        <v>Ver ficha</v>
      </c>
    </row>
    <row r="84" customFormat="false" ht="15" hidden="false" customHeight="false" outlineLevel="0" collapsed="false">
      <c r="A84" s="2" t="n">
        <v>83</v>
      </c>
      <c r="B84" s="2" t="s">
        <v>286</v>
      </c>
      <c r="C84" s="2" t="s">
        <v>77</v>
      </c>
      <c r="D84" s="2"/>
      <c r="E84" s="2" t="s">
        <v>1</v>
      </c>
      <c r="F84" s="3" t="s">
        <v>287</v>
      </c>
      <c r="G84" s="2" t="str">
        <f aca="false">IF(LEFT(F84,1)="3","Celular","Fijo")</f>
        <v>Celular</v>
      </c>
      <c r="H84" s="4" t="str">
        <f aca="false">IF(G84="Celular",HYPERLINK("https://wa.me/57"&amp;F84,"Abrir chat"),"")</f>
        <v>Abrir chat</v>
      </c>
      <c r="I84" s="2" t="s">
        <v>288</v>
      </c>
      <c r="J84" s="5" t="s">
        <v>22</v>
      </c>
      <c r="K84" s="6"/>
      <c r="L84" s="7" t="str">
        <f aca="false">IF(K84="","",K84+4)</f>
        <v/>
      </c>
      <c r="M84" s="5"/>
      <c r="N84" s="8" t="str">
        <f aca="false">IF(M84="","",INDEX(Planes!$B$4:$B$6,MATCH(M84,Planes!$A$4:$A$6,0)))</f>
        <v/>
      </c>
      <c r="O84" s="5" t="s">
        <v>23</v>
      </c>
      <c r="P84" s="5"/>
      <c r="Q84" s="4" t="str">
        <f aca="false">HYPERLINK("https://www.informacolombia.com/directorio-empresas/informacion-empresa/operamos-restaurantes-sas","Ver ficha")</f>
        <v>Ver ficha</v>
      </c>
    </row>
    <row r="85" customFormat="false" ht="15" hidden="false" customHeight="false" outlineLevel="0" collapsed="false">
      <c r="A85" s="2" t="n">
        <v>84</v>
      </c>
      <c r="B85" s="2" t="s">
        <v>289</v>
      </c>
      <c r="C85" s="2" t="s">
        <v>77</v>
      </c>
      <c r="D85" s="2"/>
      <c r="E85" s="2" t="s">
        <v>1</v>
      </c>
      <c r="F85" s="3" t="s">
        <v>290</v>
      </c>
      <c r="G85" s="2" t="str">
        <f aca="false">IF(LEFT(F85,1)="3","Celular","Fijo")</f>
        <v>Celular</v>
      </c>
      <c r="H85" s="4" t="str">
        <f aca="false">IF(G85="Celular",HYPERLINK("https://wa.me/57"&amp;F85,"Abrir chat"),"")</f>
        <v>Abrir chat</v>
      </c>
      <c r="I85" s="2" t="s">
        <v>291</v>
      </c>
      <c r="J85" s="5" t="s">
        <v>22</v>
      </c>
      <c r="K85" s="6"/>
      <c r="L85" s="7" t="str">
        <f aca="false">IF(K85="","",K85+4)</f>
        <v/>
      </c>
      <c r="M85" s="5"/>
      <c r="N85" s="8" t="str">
        <f aca="false">IF(M85="","",INDEX(Planes!$B$4:$B$6,MATCH(M85,Planes!$A$4:$A$6,0)))</f>
        <v/>
      </c>
      <c r="O85" s="5" t="s">
        <v>23</v>
      </c>
      <c r="P85" s="5"/>
      <c r="Q85" s="4" t="str">
        <f aca="false">HYPERLINK("https://www.informacolombia.com/directorio-empresas/informacion-empresa/opulencia-sas","Ver ficha")</f>
        <v>Ver ficha</v>
      </c>
    </row>
    <row r="86" customFormat="false" ht="15" hidden="false" customHeight="false" outlineLevel="0" collapsed="false">
      <c r="A86" s="2" t="n">
        <v>85</v>
      </c>
      <c r="B86" s="2" t="s">
        <v>292</v>
      </c>
      <c r="C86" s="2" t="s">
        <v>77</v>
      </c>
      <c r="D86" s="2"/>
      <c r="E86" s="2" t="s">
        <v>45</v>
      </c>
      <c r="F86" s="3" t="s">
        <v>293</v>
      </c>
      <c r="G86" s="2" t="str">
        <f aca="false">IF(LEFT(F86,1)="3","Celular","Fijo")</f>
        <v>Fijo</v>
      </c>
      <c r="H86" s="4" t="str">
        <f aca="false">IF(G86="Celular",HYPERLINK("https://wa.me/57"&amp;F86,"Abrir chat"),"")</f>
        <v/>
      </c>
      <c r="I86" s="2"/>
      <c r="J86" s="5" t="s">
        <v>22</v>
      </c>
      <c r="K86" s="6"/>
      <c r="L86" s="7" t="str">
        <f aca="false">IF(K86="","",K86+4)</f>
        <v/>
      </c>
      <c r="M86" s="5"/>
      <c r="N86" s="8" t="str">
        <f aca="false">IF(M86="","",INDEX(Planes!$B$4:$B$6,MATCH(M86,Planes!$A$4:$A$6,0)))</f>
        <v/>
      </c>
      <c r="O86" s="5" t="s">
        <v>47</v>
      </c>
      <c r="P86" s="5"/>
      <c r="Q86" s="4" t="str">
        <f aca="false">HYPERLINK("https://www.informacolombia.com/directorio-empresas/actividad/5619_OTROS-TIPOS-DE-EXPENDIO-DE-COMIDAS-PREPARADAS-N-C-P/localidad_medellin","Ver ficha")</f>
        <v>Ver ficha</v>
      </c>
    </row>
    <row r="87" customFormat="false" ht="15" hidden="false" customHeight="false" outlineLevel="0" collapsed="false">
      <c r="A87" s="2" t="n">
        <v>86</v>
      </c>
      <c r="B87" s="2" t="s">
        <v>294</v>
      </c>
      <c r="C87" s="2" t="s">
        <v>77</v>
      </c>
      <c r="D87" s="2"/>
      <c r="E87" s="2" t="s">
        <v>222</v>
      </c>
      <c r="F87" s="3" t="s">
        <v>295</v>
      </c>
      <c r="G87" s="2" t="str">
        <f aca="false">IF(LEFT(F87,1)="3","Celular","Fijo")</f>
        <v>Celular</v>
      </c>
      <c r="H87" s="4" t="str">
        <f aca="false">IF(G87="Celular",HYPERLINK("https://wa.me/57"&amp;F87,"Abrir chat"),"")</f>
        <v>Abrir chat</v>
      </c>
      <c r="I87" s="2"/>
      <c r="J87" s="5" t="s">
        <v>22</v>
      </c>
      <c r="K87" s="6"/>
      <c r="L87" s="7" t="str">
        <f aca="false">IF(K87="","",K87+4)</f>
        <v/>
      </c>
      <c r="M87" s="5"/>
      <c r="N87" s="8" t="str">
        <f aca="false">IF(M87="","",INDEX(Planes!$B$4:$B$6,MATCH(M87,Planes!$A$4:$A$6,0)))</f>
        <v/>
      </c>
      <c r="O87" s="5" t="s">
        <v>23</v>
      </c>
      <c r="P87" s="5"/>
      <c r="Q87" s="4" t="str">
        <f aca="false">HYPERLINK("https://www.informacolombia.com/directorio-empresas/actividad/I_ALOJAMIENTO-Y-SERVICIOS-DE-COMIDA/localidad_medellin","Ver ficha")</f>
        <v>Ver ficha</v>
      </c>
    </row>
    <row r="88" customFormat="false" ht="15" hidden="false" customHeight="false" outlineLevel="0" collapsed="false">
      <c r="A88" s="2" t="n">
        <v>87</v>
      </c>
      <c r="B88" s="2" t="s">
        <v>296</v>
      </c>
      <c r="C88" s="2" t="s">
        <v>77</v>
      </c>
      <c r="D88" s="2"/>
      <c r="E88" s="2" t="s">
        <v>170</v>
      </c>
      <c r="F88" s="3" t="s">
        <v>297</v>
      </c>
      <c r="G88" s="2" t="str">
        <f aca="false">IF(LEFT(F88,1)="3","Celular","Fijo")</f>
        <v>Fijo</v>
      </c>
      <c r="H88" s="4" t="str">
        <f aca="false">IF(G88="Celular",HYPERLINK("https://wa.me/57"&amp;F88,"Abrir chat"),"")</f>
        <v/>
      </c>
      <c r="I88" s="2" t="s">
        <v>298</v>
      </c>
      <c r="J88" s="5" t="s">
        <v>22</v>
      </c>
      <c r="K88" s="6"/>
      <c r="L88" s="7" t="str">
        <f aca="false">IF(K88="","",K88+4)</f>
        <v/>
      </c>
      <c r="M88" s="5"/>
      <c r="N88" s="8" t="str">
        <f aca="false">IF(M88="","",INDEX(Planes!$B$4:$B$6,MATCH(M88,Planes!$A$4:$A$6,0)))</f>
        <v/>
      </c>
      <c r="O88" s="5" t="s">
        <v>47</v>
      </c>
      <c r="P88" s="5"/>
      <c r="Q88" s="4" t="str">
        <f aca="false">HYPERLINK("https://www.informacolombia.com/directorio-empresas/informacion-empresa/pizza-americana-sas","Ver ficha")</f>
        <v>Ver ficha</v>
      </c>
    </row>
    <row r="89" customFormat="false" ht="15" hidden="false" customHeight="false" outlineLevel="0" collapsed="false">
      <c r="A89" s="2" t="n">
        <v>88</v>
      </c>
      <c r="B89" s="2" t="s">
        <v>299</v>
      </c>
      <c r="C89" s="2" t="s">
        <v>77</v>
      </c>
      <c r="D89" s="2"/>
      <c r="E89" s="2" t="s">
        <v>170</v>
      </c>
      <c r="F89" s="3" t="s">
        <v>300</v>
      </c>
      <c r="G89" s="2" t="str">
        <f aca="false">IF(LEFT(F89,1)="3","Celular","Fijo")</f>
        <v>Celular</v>
      </c>
      <c r="H89" s="4" t="str">
        <f aca="false">IF(G89="Celular",HYPERLINK("https://wa.me/57"&amp;F89,"Abrir chat"),"")</f>
        <v>Abrir chat</v>
      </c>
      <c r="I89" s="2" t="s">
        <v>301</v>
      </c>
      <c r="J89" s="5" t="s">
        <v>22</v>
      </c>
      <c r="K89" s="6"/>
      <c r="L89" s="7" t="str">
        <f aca="false">IF(K89="","",K89+4)</f>
        <v/>
      </c>
      <c r="M89" s="5"/>
      <c r="N89" s="8" t="str">
        <f aca="false">IF(M89="","",INDEX(Planes!$B$4:$B$6,MATCH(M89,Planes!$A$4:$A$6,0)))</f>
        <v/>
      </c>
      <c r="O89" s="5" t="s">
        <v>23</v>
      </c>
      <c r="P89" s="5"/>
      <c r="Q89" s="4" t="str">
        <f aca="false">HYPERLINK("https://www.informacolombia.com/directorio-empresas/informacion-empresa/pizzaiolo-colombia-sas","Ver ficha")</f>
        <v>Ver ficha</v>
      </c>
    </row>
    <row r="90" customFormat="false" ht="15" hidden="false" customHeight="false" outlineLevel="0" collapsed="false">
      <c r="A90" s="2" t="n">
        <v>89</v>
      </c>
      <c r="B90" s="2" t="s">
        <v>302</v>
      </c>
      <c r="C90" s="2" t="s">
        <v>77</v>
      </c>
      <c r="D90" s="2"/>
      <c r="E90" s="2" t="s">
        <v>170</v>
      </c>
      <c r="F90" s="3" t="s">
        <v>303</v>
      </c>
      <c r="G90" s="2" t="str">
        <f aca="false">IF(LEFT(F90,1)="3","Celular","Fijo")</f>
        <v>Celular</v>
      </c>
      <c r="H90" s="4" t="str">
        <f aca="false">IF(G90="Celular",HYPERLINK("https://wa.me/57"&amp;F90,"Abrir chat"),"")</f>
        <v>Abrir chat</v>
      </c>
      <c r="I90" s="2" t="s">
        <v>304</v>
      </c>
      <c r="J90" s="5" t="s">
        <v>22</v>
      </c>
      <c r="K90" s="6"/>
      <c r="L90" s="7" t="str">
        <f aca="false">IF(K90="","",K90+4)</f>
        <v/>
      </c>
      <c r="M90" s="5"/>
      <c r="N90" s="8" t="str">
        <f aca="false">IF(M90="","",INDEX(Planes!$B$4:$B$6,MATCH(M90,Planes!$A$4:$A$6,0)))</f>
        <v/>
      </c>
      <c r="O90" s="5" t="s">
        <v>23</v>
      </c>
      <c r="P90" s="5"/>
      <c r="Q90" s="4" t="str">
        <f aca="false">HYPERLINK("https://directorio-empresas.einforma.co/informacion-empresa/pizzalas-ac-sas","Ver ficha")</f>
        <v>Ver ficha</v>
      </c>
    </row>
    <row r="91" customFormat="false" ht="15" hidden="false" customHeight="false" outlineLevel="0" collapsed="false">
      <c r="A91" s="2" t="n">
        <v>90</v>
      </c>
      <c r="B91" s="2" t="s">
        <v>305</v>
      </c>
      <c r="C91" s="2" t="s">
        <v>77</v>
      </c>
      <c r="D91" s="2" t="s">
        <v>306</v>
      </c>
      <c r="E91" s="2" t="s">
        <v>74</v>
      </c>
      <c r="F91" s="3" t="s">
        <v>307</v>
      </c>
      <c r="G91" s="2" t="str">
        <f aca="false">IF(LEFT(F91,1)="3","Celular","Fijo")</f>
        <v>Celular</v>
      </c>
      <c r="H91" s="4" t="str">
        <f aca="false">IF(G91="Celular",HYPERLINK("https://wa.me/57"&amp;F91,"Abrir chat"),"")</f>
        <v>Abrir chat</v>
      </c>
      <c r="I91" s="2" t="s">
        <v>308</v>
      </c>
      <c r="J91" s="5" t="s">
        <v>22</v>
      </c>
      <c r="K91" s="6"/>
      <c r="L91" s="7" t="str">
        <f aca="false">IF(K91="","",K91+4)</f>
        <v/>
      </c>
      <c r="M91" s="5"/>
      <c r="N91" s="8" t="str">
        <f aca="false">IF(M91="","",INDEX(Planes!$B$4:$B$6,MATCH(M91,Planes!$A$4:$A$6,0)))</f>
        <v/>
      </c>
      <c r="O91" s="5" t="s">
        <v>23</v>
      </c>
      <c r="P91" s="5"/>
      <c r="Q91" s="4" t="str">
        <f aca="false">HYPERLINK("https://www.informacolombia.com/directorio-empresas/informacion-empresa/pollos-brasa-mario-america-44-sas","Ver ficha")</f>
        <v>Ver ficha</v>
      </c>
    </row>
    <row r="92" customFormat="false" ht="15" hidden="false" customHeight="false" outlineLevel="0" collapsed="false">
      <c r="A92" s="2" t="n">
        <v>91</v>
      </c>
      <c r="B92" s="2" t="s">
        <v>309</v>
      </c>
      <c r="C92" s="2" t="s">
        <v>77</v>
      </c>
      <c r="D92" s="2"/>
      <c r="E92" s="2" t="s">
        <v>310</v>
      </c>
      <c r="F92" s="3" t="s">
        <v>311</v>
      </c>
      <c r="G92" s="2" t="str">
        <f aca="false">IF(LEFT(F92,1)="3","Celular","Fijo")</f>
        <v>Celular</v>
      </c>
      <c r="H92" s="4" t="str">
        <f aca="false">IF(G92="Celular",HYPERLINK("https://wa.me/57"&amp;F92,"Abrir chat"),"")</f>
        <v>Abrir chat</v>
      </c>
      <c r="I92" s="2" t="s">
        <v>312</v>
      </c>
      <c r="J92" s="5" t="s">
        <v>22</v>
      </c>
      <c r="K92" s="6"/>
      <c r="L92" s="7" t="str">
        <f aca="false">IF(K92="","",K92+4)</f>
        <v/>
      </c>
      <c r="M92" s="5"/>
      <c r="N92" s="8" t="str">
        <f aca="false">IF(M92="","",INDEX(Planes!$B$4:$B$6,MATCH(M92,Planes!$A$4:$A$6,0)))</f>
        <v/>
      </c>
      <c r="O92" s="5" t="s">
        <v>23</v>
      </c>
      <c r="P92" s="5"/>
      <c r="Q92" s="4" t="str">
        <f aca="false">HYPERLINK("https://www.informacolombia.com/directorio-empresas/informacion-empresa/restaurante-chino-shenlong-sas","Ver ficha")</f>
        <v>Ver ficha</v>
      </c>
    </row>
    <row r="93" customFormat="false" ht="15" hidden="false" customHeight="false" outlineLevel="0" collapsed="false">
      <c r="A93" s="2" t="n">
        <v>92</v>
      </c>
      <c r="B93" s="2" t="s">
        <v>313</v>
      </c>
      <c r="C93" s="2" t="s">
        <v>77</v>
      </c>
      <c r="D93" s="2"/>
      <c r="E93" s="2" t="s">
        <v>310</v>
      </c>
      <c r="F93" s="3" t="s">
        <v>314</v>
      </c>
      <c r="G93" s="2" t="str">
        <f aca="false">IF(LEFT(F93,1)="3","Celular","Fijo")</f>
        <v>Celular</v>
      </c>
      <c r="H93" s="4" t="str">
        <f aca="false">IF(G93="Celular",HYPERLINK("https://wa.me/57"&amp;F93,"Abrir chat"),"")</f>
        <v>Abrir chat</v>
      </c>
      <c r="I93" s="2" t="s">
        <v>315</v>
      </c>
      <c r="J93" s="5" t="s">
        <v>22</v>
      </c>
      <c r="K93" s="6"/>
      <c r="L93" s="7" t="str">
        <f aca="false">IF(K93="","",K93+4)</f>
        <v/>
      </c>
      <c r="M93" s="5"/>
      <c r="N93" s="8" t="str">
        <f aca="false">IF(M93="","",INDEX(Planes!$B$4:$B$6,MATCH(M93,Planes!$A$4:$A$6,0)))</f>
        <v/>
      </c>
      <c r="O93" s="5" t="s">
        <v>23</v>
      </c>
      <c r="P93" s="5"/>
      <c r="Q93" s="4" t="str">
        <f aca="false">HYPERLINK("https://www.informacolombia.com/directorio-empresas/informacion-empresa/restaurante-gran-ching-hong-yun-sas","Ver ficha")</f>
        <v>Ver ficha</v>
      </c>
    </row>
    <row r="94" customFormat="false" ht="15" hidden="false" customHeight="false" outlineLevel="0" collapsed="false">
      <c r="A94" s="2" t="n">
        <v>93</v>
      </c>
      <c r="B94" s="2" t="s">
        <v>316</v>
      </c>
      <c r="C94" s="2" t="s">
        <v>77</v>
      </c>
      <c r="D94" s="2" t="s">
        <v>317</v>
      </c>
      <c r="E94" s="2" t="s">
        <v>1</v>
      </c>
      <c r="F94" s="3" t="s">
        <v>318</v>
      </c>
      <c r="G94" s="2" t="str">
        <f aca="false">IF(LEFT(F94,1)="3","Celular","Fijo")</f>
        <v>Celular</v>
      </c>
      <c r="H94" s="4" t="str">
        <f aca="false">IF(G94="Celular",HYPERLINK("https://wa.me/57"&amp;F94,"Abrir chat"),"")</f>
        <v>Abrir chat</v>
      </c>
      <c r="I94" s="2" t="s">
        <v>319</v>
      </c>
      <c r="J94" s="5" t="s">
        <v>22</v>
      </c>
      <c r="K94" s="6"/>
      <c r="L94" s="7" t="str">
        <f aca="false">IF(K94="","",K94+4)</f>
        <v/>
      </c>
      <c r="M94" s="5"/>
      <c r="N94" s="8" t="str">
        <f aca="false">IF(M94="","",INDEX(Planes!$B$4:$B$6,MATCH(M94,Planes!$A$4:$A$6,0)))</f>
        <v/>
      </c>
      <c r="O94" s="5" t="s">
        <v>23</v>
      </c>
      <c r="P94" s="5"/>
      <c r="Q94" s="4" t="str">
        <f aca="false">HYPERLINK("https://www.informacolombia.com/directorio-empresas/informacion-empresa/restaurante-panas-sas","Ver ficha")</f>
        <v>Ver ficha</v>
      </c>
    </row>
    <row r="95" customFormat="false" ht="15" hidden="false" customHeight="false" outlineLevel="0" collapsed="false">
      <c r="A95" s="2" t="n">
        <v>94</v>
      </c>
      <c r="B95" s="2" t="s">
        <v>320</v>
      </c>
      <c r="C95" s="2" t="s">
        <v>77</v>
      </c>
      <c r="D95" s="2" t="s">
        <v>78</v>
      </c>
      <c r="E95" s="2" t="s">
        <v>321</v>
      </c>
      <c r="F95" s="3" t="s">
        <v>322</v>
      </c>
      <c r="G95" s="2" t="str">
        <f aca="false">IF(LEFT(F95,1)="3","Celular","Fijo")</f>
        <v>Fijo</v>
      </c>
      <c r="H95" s="4" t="str">
        <f aca="false">IF(G95="Celular",HYPERLINK("https://wa.me/57"&amp;F95,"Abrir chat"),"")</f>
        <v/>
      </c>
      <c r="I95" s="2" t="s">
        <v>323</v>
      </c>
      <c r="J95" s="5" t="s">
        <v>22</v>
      </c>
      <c r="K95" s="6"/>
      <c r="L95" s="7" t="str">
        <f aca="false">IF(K95="","",K95+4)</f>
        <v/>
      </c>
      <c r="M95" s="5"/>
      <c r="N95" s="8" t="str">
        <f aca="false">IF(M95="","",INDEX(Planes!$B$4:$B$6,MATCH(M95,Planes!$A$4:$A$6,0)))</f>
        <v/>
      </c>
      <c r="O95" s="5" t="s">
        <v>47</v>
      </c>
      <c r="P95" s="5"/>
      <c r="Q95" s="4" t="str">
        <f aca="false">HYPERLINK("https://www.informacolombia.com/directorio-empresas/informacion-empresa/rico-pa-llevar1-sas","Ver ficha")</f>
        <v>Ver ficha</v>
      </c>
    </row>
    <row r="96" customFormat="false" ht="15" hidden="false" customHeight="false" outlineLevel="0" collapsed="false">
      <c r="A96" s="2" t="n">
        <v>95</v>
      </c>
      <c r="B96" s="2" t="s">
        <v>324</v>
      </c>
      <c r="C96" s="2" t="s">
        <v>77</v>
      </c>
      <c r="D96" s="2" t="s">
        <v>88</v>
      </c>
      <c r="E96" s="2" t="s">
        <v>325</v>
      </c>
      <c r="F96" s="3" t="s">
        <v>326</v>
      </c>
      <c r="G96" s="2" t="str">
        <f aca="false">IF(LEFT(F96,1)="3","Celular","Fijo")</f>
        <v>Celular</v>
      </c>
      <c r="H96" s="4" t="str">
        <f aca="false">IF(G96="Celular",HYPERLINK("https://wa.me/57"&amp;F96,"Abrir chat"),"")</f>
        <v>Abrir chat</v>
      </c>
      <c r="I96" s="2" t="s">
        <v>327</v>
      </c>
      <c r="J96" s="5" t="s">
        <v>22</v>
      </c>
      <c r="K96" s="6"/>
      <c r="L96" s="7" t="str">
        <f aca="false">IF(K96="","",K96+4)</f>
        <v/>
      </c>
      <c r="M96" s="5"/>
      <c r="N96" s="8" t="str">
        <f aca="false">IF(M96="","",INDEX(Planes!$B$4:$B$6,MATCH(M96,Planes!$A$4:$A$6,0)))</f>
        <v/>
      </c>
      <c r="O96" s="5" t="s">
        <v>23</v>
      </c>
      <c r="P96" s="5"/>
      <c r="Q96" s="4" t="str">
        <f aca="false">HYPERLINK("https://www.informacolombia.com/directorio-empresas/informacion-empresa/roll-company-sas","Ver ficha")</f>
        <v>Ver ficha</v>
      </c>
    </row>
    <row r="97" customFormat="false" ht="15" hidden="false" customHeight="false" outlineLevel="0" collapsed="false">
      <c r="A97" s="2" t="n">
        <v>96</v>
      </c>
      <c r="B97" s="2" t="s">
        <v>328</v>
      </c>
      <c r="C97" s="2" t="s">
        <v>77</v>
      </c>
      <c r="D97" s="2"/>
      <c r="E97" s="2" t="s">
        <v>329</v>
      </c>
      <c r="F97" s="3" t="s">
        <v>330</v>
      </c>
      <c r="G97" s="2" t="str">
        <f aca="false">IF(LEFT(F97,1)="3","Celular","Fijo")</f>
        <v>Fijo</v>
      </c>
      <c r="H97" s="4" t="str">
        <f aca="false">IF(G97="Celular",HYPERLINK("https://wa.me/57"&amp;F97,"Abrir chat"),"")</f>
        <v/>
      </c>
      <c r="I97" s="2"/>
      <c r="J97" s="5" t="s">
        <v>22</v>
      </c>
      <c r="K97" s="6"/>
      <c r="L97" s="7" t="str">
        <f aca="false">IF(K97="","",K97+4)</f>
        <v/>
      </c>
      <c r="M97" s="5"/>
      <c r="N97" s="8" t="str">
        <f aca="false">IF(M97="","",INDEX(Planes!$B$4:$B$6,MATCH(M97,Planes!$A$4:$A$6,0)))</f>
        <v/>
      </c>
      <c r="O97" s="5" t="s">
        <v>47</v>
      </c>
      <c r="P97" s="5"/>
      <c r="Q97" s="4" t="str">
        <f aca="false">HYPERLINK("https://www.informacolombia.com/directorio-empresas/actividad/5611_EXPENDIO-A-LA-MESA-DE-COMIDAS-PREPARADAS/localidad_medellin?qPg=2","Ver ficha")</f>
        <v>Ver ficha</v>
      </c>
    </row>
    <row r="98" customFormat="false" ht="15" hidden="false" customHeight="false" outlineLevel="0" collapsed="false">
      <c r="A98" s="2" t="n">
        <v>97</v>
      </c>
      <c r="B98" s="2" t="s">
        <v>331</v>
      </c>
      <c r="C98" s="2" t="s">
        <v>77</v>
      </c>
      <c r="D98" s="2"/>
      <c r="E98" s="2" t="s">
        <v>188</v>
      </c>
      <c r="F98" s="3" t="s">
        <v>275</v>
      </c>
      <c r="G98" s="2" t="str">
        <f aca="false">IF(LEFT(F98,1)="3","Celular","Fijo")</f>
        <v>Fijo</v>
      </c>
      <c r="H98" s="4" t="str">
        <f aca="false">IF(G98="Celular",HYPERLINK("https://wa.me/57"&amp;F98,"Abrir chat"),"")</f>
        <v/>
      </c>
      <c r="I98" s="2"/>
      <c r="J98" s="5" t="s">
        <v>22</v>
      </c>
      <c r="K98" s="6"/>
      <c r="L98" s="7" t="str">
        <f aca="false">IF(K98="","",K98+4)</f>
        <v/>
      </c>
      <c r="M98" s="5"/>
      <c r="N98" s="8" t="str">
        <f aca="false">IF(M98="","",INDEX(Planes!$B$4:$B$6,MATCH(M98,Planes!$A$4:$A$6,0)))</f>
        <v/>
      </c>
      <c r="O98" s="5" t="s">
        <v>47</v>
      </c>
      <c r="P98" s="5"/>
      <c r="Q98" s="4" t="str">
        <f aca="false">HYPERLINK("https://www.informacolombia.com/directorio-empresas/informacion-empresa/somos-uno-resto-cafe-sas","Ver ficha")</f>
        <v>Ver ficha</v>
      </c>
    </row>
    <row r="99" customFormat="false" ht="15" hidden="false" customHeight="false" outlineLevel="0" collapsed="false">
      <c r="A99" s="2" t="n">
        <v>98</v>
      </c>
      <c r="B99" s="2" t="s">
        <v>332</v>
      </c>
      <c r="C99" s="2" t="s">
        <v>77</v>
      </c>
      <c r="D99" s="2" t="s">
        <v>78</v>
      </c>
      <c r="E99" s="2" t="s">
        <v>333</v>
      </c>
      <c r="F99" s="3" t="s">
        <v>334</v>
      </c>
      <c r="G99" s="2" t="str">
        <f aca="false">IF(LEFT(F99,1)="3","Celular","Fijo")</f>
        <v>Celular</v>
      </c>
      <c r="H99" s="4" t="str">
        <f aca="false">IF(G99="Celular",HYPERLINK("https://wa.me/57"&amp;F99,"Abrir chat"),"")</f>
        <v>Abrir chat</v>
      </c>
      <c r="I99" s="2" t="s">
        <v>335</v>
      </c>
      <c r="J99" s="5" t="s">
        <v>22</v>
      </c>
      <c r="K99" s="6"/>
      <c r="L99" s="7" t="str">
        <f aca="false">IF(K99="","",K99+4)</f>
        <v/>
      </c>
      <c r="M99" s="5"/>
      <c r="N99" s="8" t="str">
        <f aca="false">IF(M99="","",INDEX(Planes!$B$4:$B$6,MATCH(M99,Planes!$A$4:$A$6,0)))</f>
        <v/>
      </c>
      <c r="O99" s="5" t="s">
        <v>23</v>
      </c>
      <c r="P99" s="5"/>
      <c r="Q99" s="4" t="str">
        <f aca="false">HYPERLINK("https://directorio-empresas.einforma.co/informacion-empresa/taco-house-mexican-grill-sas","Ver ficha")</f>
        <v>Ver ficha</v>
      </c>
    </row>
    <row r="100" customFormat="false" ht="15" hidden="false" customHeight="false" outlineLevel="0" collapsed="false">
      <c r="A100" s="2" t="n">
        <v>99</v>
      </c>
      <c r="B100" s="2" t="s">
        <v>336</v>
      </c>
      <c r="C100" s="2" t="s">
        <v>77</v>
      </c>
      <c r="D100" s="2" t="s">
        <v>88</v>
      </c>
      <c r="E100" s="2" t="s">
        <v>170</v>
      </c>
      <c r="F100" s="3" t="s">
        <v>337</v>
      </c>
      <c r="G100" s="2" t="str">
        <f aca="false">IF(LEFT(F100,1)="3","Celular","Fijo")</f>
        <v>Fijo</v>
      </c>
      <c r="H100" s="4" t="str">
        <f aca="false">IF(G100="Celular",HYPERLINK("https://wa.me/57"&amp;F100,"Abrir chat"),"")</f>
        <v/>
      </c>
      <c r="I100" s="2" t="s">
        <v>338</v>
      </c>
      <c r="J100" s="5" t="s">
        <v>22</v>
      </c>
      <c r="K100" s="6"/>
      <c r="L100" s="7" t="str">
        <f aca="false">IF(K100="","",K100+4)</f>
        <v/>
      </c>
      <c r="M100" s="5"/>
      <c r="N100" s="8" t="str">
        <f aca="false">IF(M100="","",INDEX(Planes!$B$4:$B$6,MATCH(M100,Planes!$A$4:$A$6,0)))</f>
        <v/>
      </c>
      <c r="O100" s="5" t="s">
        <v>47</v>
      </c>
      <c r="P100" s="5"/>
      <c r="Q100" s="4" t="str">
        <f aca="false">HYPERLINK("https://www.informacolombia.com/directorio-empresas/informacion-empresa/jugosa-ltda","Ver ficha")</f>
        <v>Ver ficha</v>
      </c>
    </row>
    <row r="101" customFormat="false" ht="15" hidden="false" customHeight="false" outlineLevel="0" collapsed="false">
      <c r="A101" s="2" t="n">
        <v>100</v>
      </c>
      <c r="B101" s="2" t="s">
        <v>339</v>
      </c>
      <c r="C101" s="2" t="s">
        <v>77</v>
      </c>
      <c r="D101" s="2" t="s">
        <v>78</v>
      </c>
      <c r="E101" s="2" t="s">
        <v>340</v>
      </c>
      <c r="F101" s="3" t="s">
        <v>341</v>
      </c>
      <c r="G101" s="2" t="str">
        <f aca="false">IF(LEFT(F101,1)="3","Celular","Fijo")</f>
        <v>Celular</v>
      </c>
      <c r="H101" s="4" t="str">
        <f aca="false">IF(G101="Celular",HYPERLINK("https://wa.me/57"&amp;F101,"Abrir chat"),"")</f>
        <v>Abrir chat</v>
      </c>
      <c r="I101" s="2" t="s">
        <v>342</v>
      </c>
      <c r="J101" s="5" t="s">
        <v>22</v>
      </c>
      <c r="K101" s="6"/>
      <c r="L101" s="7" t="str">
        <f aca="false">IF(K101="","",K101+4)</f>
        <v/>
      </c>
      <c r="M101" s="5"/>
      <c r="N101" s="8" t="str">
        <f aca="false">IF(M101="","",INDEX(Planes!$B$4:$B$6,MATCH(M101,Planes!$A$4:$A$6,0)))</f>
        <v/>
      </c>
      <c r="O101" s="5" t="s">
        <v>23</v>
      </c>
      <c r="P101" s="5"/>
      <c r="Q101" s="4" t="str">
        <f aca="false">HYPERLINK("https://directorio-empresas.einforma.co/informacion-empresa/vegan-veggie-sas","Ver ficha")</f>
        <v>Ver ficha</v>
      </c>
    </row>
    <row r="102" customFormat="false" ht="15" hidden="false" customHeight="false" outlineLevel="0" collapsed="false">
      <c r="A102" s="2" t="n">
        <v>101</v>
      </c>
      <c r="B102" s="2" t="s">
        <v>343</v>
      </c>
      <c r="C102" s="2" t="s">
        <v>77</v>
      </c>
      <c r="D102" s="2"/>
      <c r="E102" s="2" t="s">
        <v>19</v>
      </c>
      <c r="F102" s="3" t="s">
        <v>344</v>
      </c>
      <c r="G102" s="2" t="str">
        <f aca="false">IF(LEFT(F102,1)="3","Celular","Fijo")</f>
        <v>Celular</v>
      </c>
      <c r="H102" s="4" t="str">
        <f aca="false">IF(G102="Celular",HYPERLINK("https://wa.me/57"&amp;F102,"Abrir chat"),"")</f>
        <v>Abrir chat</v>
      </c>
      <c r="I102" s="2" t="s">
        <v>345</v>
      </c>
      <c r="J102" s="5" t="s">
        <v>22</v>
      </c>
      <c r="K102" s="6"/>
      <c r="L102" s="7" t="str">
        <f aca="false">IF(K102="","",K102+4)</f>
        <v/>
      </c>
      <c r="M102" s="5"/>
      <c r="N102" s="8" t="str">
        <f aca="false">IF(M102="","",INDEX(Planes!$B$4:$B$6,MATCH(M102,Planes!$A$4:$A$6,0)))</f>
        <v/>
      </c>
      <c r="O102" s="5" t="s">
        <v>23</v>
      </c>
      <c r="P102" s="5"/>
      <c r="Q102" s="4" t="str">
        <f aca="false">HYPERLINK("https://www.informacolombia.com/directorio-empresas/informacion-empresa/w-fuego-burger-inversiones-sas","Ver ficha")</f>
        <v>Ver ficha</v>
      </c>
    </row>
  </sheetData>
  <autoFilter ref="A1:Q102"/>
  <conditionalFormatting sqref="A2:Q102">
    <cfRule type="expression" priority="2" aboveAverage="0" equalAverage="0" bottom="0" percent="0" rank="0" text="" dxfId="5">
      <formula>$J2="Cliente"</formula>
    </cfRule>
    <cfRule type="expression" priority="3" aboveAverage="0" equalAverage="0" bottom="0" percent="0" rank="0" text="" dxfId="6">
      <formula>$J2="Demo agendada"</formula>
    </cfRule>
    <cfRule type="expression" priority="4" aboveAverage="0" equalAverage="0" bottom="0" percent="0" rank="0" text="" dxfId="6">
      <formula>$J2="En prueba"</formula>
    </cfRule>
    <cfRule type="expression" priority="5" aboveAverage="0" equalAverage="0" bottom="0" percent="0" rank="0" text="" dxfId="7">
      <formula>$J2="Respondió"</formula>
    </cfRule>
    <cfRule type="expression" priority="6" aboveAverage="0" equalAverage="0" bottom="0" percent="0" rank="0" text="" dxfId="8">
      <formula>$J2="No interesado"</formula>
    </cfRule>
    <cfRule type="expression" priority="7" aboveAverage="0" equalAverage="0" bottom="0" percent="0" rank="0" text="" dxfId="9">
      <formula>$J2="Número errado"</formula>
    </cfRule>
  </conditionalFormatting>
  <conditionalFormatting sqref="L2:L102">
    <cfRule type="expression" priority="8" aboveAverage="0" equalAverage="0" bottom="0" percent="0" rank="0" text="" dxfId="10">
      <formula>AND(L2&lt;&gt;"",L2&lt;=TODAY(),$J2="Mensaje enviado")</formula>
    </cfRule>
  </conditionalFormatting>
  <dataValidations count="3">
    <dataValidation allowBlank="true" errorStyle="stop" operator="between" showDropDown="false" showErrorMessage="false" showInputMessage="false" sqref="J2:J102" type="list">
      <formula1>"Por contactar,Mensaje enviado,Respondió,Demo agendada,En prueba,Cliente,No interesado,Número errado"</formula1>
      <formula2>0</formula2>
    </dataValidation>
    <dataValidation allowBlank="true" errorStyle="stop" operator="between" showDropDown="false" showErrorMessage="false" showInputMessage="false" sqref="M2:M102" type="list">
      <formula1>"Básico,Avanzado,Premium"</formula1>
      <formula2>0</formula2>
    </dataValidation>
    <dataValidation allowBlank="true" error="Escriba una fecha (dd/mm/aaaa)" errorStyle="stop" operator="greaterThan" showDropDown="false" showErrorMessage="false" showInputMessage="false" sqref="K2:K102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7.35" hidden="false" customHeight="false" outlineLevel="0" collapsed="false">
      <c r="A1" s="9" t="s">
        <v>346</v>
      </c>
    </row>
    <row r="2" customFormat="false" ht="15" hidden="false" customHeight="false" outlineLevel="0" collapsed="false">
      <c r="A2" s="10" t="s">
        <v>347</v>
      </c>
    </row>
    <row r="4" customFormat="false" ht="15" hidden="false" customHeight="false" outlineLevel="0" collapsed="false">
      <c r="A4" s="11" t="s">
        <v>9</v>
      </c>
      <c r="B4" s="11" t="s">
        <v>348</v>
      </c>
      <c r="C4" s="11" t="s">
        <v>349</v>
      </c>
    </row>
    <row r="5" customFormat="false" ht="15" hidden="false" customHeight="false" outlineLevel="0" collapsed="false">
      <c r="A5" s="12" t="s">
        <v>22</v>
      </c>
      <c r="B5" s="12" t="n">
        <f aca="false">COUNTIF(Restaurantes!$J$2:$J$102,A5)</f>
        <v>101</v>
      </c>
      <c r="C5" s="13" t="n">
        <f aca="false">IF($B$13=0,0,B5/$B$13)</f>
        <v>1</v>
      </c>
    </row>
    <row r="6" customFormat="false" ht="15" hidden="false" customHeight="false" outlineLevel="0" collapsed="false">
      <c r="A6" s="12" t="s">
        <v>350</v>
      </c>
      <c r="B6" s="12" t="n">
        <f aca="false">COUNTIF(Restaurantes!$J$2:$J$102,A6)</f>
        <v>0</v>
      </c>
      <c r="C6" s="13" t="n">
        <f aca="false">IF($B$13=0,0,B6/$B$13)</f>
        <v>0</v>
      </c>
    </row>
    <row r="7" customFormat="false" ht="15" hidden="false" customHeight="false" outlineLevel="0" collapsed="false">
      <c r="A7" s="12" t="s">
        <v>351</v>
      </c>
      <c r="B7" s="12" t="n">
        <f aca="false">COUNTIF(Restaurantes!$J$2:$J$102,A7)</f>
        <v>0</v>
      </c>
      <c r="C7" s="13" t="n">
        <f aca="false">IF($B$13=0,0,B7/$B$13)</f>
        <v>0</v>
      </c>
    </row>
    <row r="8" customFormat="false" ht="15" hidden="false" customHeight="false" outlineLevel="0" collapsed="false">
      <c r="A8" s="12" t="s">
        <v>352</v>
      </c>
      <c r="B8" s="12" t="n">
        <f aca="false">COUNTIF(Restaurantes!$J$2:$J$102,A8)</f>
        <v>0</v>
      </c>
      <c r="C8" s="13" t="n">
        <f aca="false">IF($B$13=0,0,B8/$B$13)</f>
        <v>0</v>
      </c>
    </row>
    <row r="9" customFormat="false" ht="15" hidden="false" customHeight="false" outlineLevel="0" collapsed="false">
      <c r="A9" s="12" t="s">
        <v>353</v>
      </c>
      <c r="B9" s="12" t="n">
        <f aca="false">COUNTIF(Restaurantes!$J$2:$J$102,A9)</f>
        <v>0</v>
      </c>
      <c r="C9" s="13" t="n">
        <f aca="false">IF($B$13=0,0,B9/$B$13)</f>
        <v>0</v>
      </c>
    </row>
    <row r="10" customFormat="false" ht="15" hidden="false" customHeight="false" outlineLevel="0" collapsed="false">
      <c r="A10" s="12" t="s">
        <v>354</v>
      </c>
      <c r="B10" s="12" t="n">
        <f aca="false">COUNTIF(Restaurantes!$J$2:$J$102,A10)</f>
        <v>0</v>
      </c>
      <c r="C10" s="13" t="n">
        <f aca="false">IF($B$13=0,0,B10/$B$13)</f>
        <v>0</v>
      </c>
    </row>
    <row r="11" customFormat="false" ht="15" hidden="false" customHeight="false" outlineLevel="0" collapsed="false">
      <c r="A11" s="12" t="s">
        <v>355</v>
      </c>
      <c r="B11" s="12" t="n">
        <f aca="false">COUNTIF(Restaurantes!$J$2:$J$102,A11)</f>
        <v>0</v>
      </c>
      <c r="C11" s="13" t="n">
        <f aca="false">IF($B$13=0,0,B11/$B$13)</f>
        <v>0</v>
      </c>
    </row>
    <row r="12" customFormat="false" ht="15" hidden="false" customHeight="false" outlineLevel="0" collapsed="false">
      <c r="A12" s="12" t="s">
        <v>356</v>
      </c>
      <c r="B12" s="12" t="n">
        <f aca="false">COUNTIF(Restaurantes!$J$2:$J$102,A12)</f>
        <v>0</v>
      </c>
      <c r="C12" s="13" t="n">
        <f aca="false">IF($B$13=0,0,B12/$B$13)</f>
        <v>0</v>
      </c>
    </row>
    <row r="13" customFormat="false" ht="15" hidden="false" customHeight="false" outlineLevel="0" collapsed="false">
      <c r="A13" s="14" t="s">
        <v>357</v>
      </c>
      <c r="B13" s="14" t="n">
        <f aca="false">COUNTA(Restaurantes!$B$2:$B$102)</f>
        <v>101</v>
      </c>
      <c r="C13" s="13" t="n">
        <f aca="false">IF($B$13=0,0,B13/$B$13)</f>
        <v>1</v>
      </c>
    </row>
    <row r="14" customFormat="false" ht="15" hidden="false" customHeight="false" outlineLevel="0" collapsed="false">
      <c r="A14" s="12"/>
      <c r="B14" s="12"/>
      <c r="C14" s="12"/>
    </row>
    <row r="15" customFormat="false" ht="15" hidden="false" customHeight="false" outlineLevel="0" collapsed="false">
      <c r="A15" s="14" t="s">
        <v>358</v>
      </c>
      <c r="B15" s="12"/>
      <c r="C15" s="12"/>
    </row>
    <row r="16" customFormat="false" ht="15" hidden="false" customHeight="false" outlineLevel="0" collapsed="false">
      <c r="A16" s="12" t="s">
        <v>359</v>
      </c>
      <c r="B16" s="12" t="n">
        <f aca="false">B13-B5</f>
        <v>0</v>
      </c>
      <c r="C16" s="12"/>
    </row>
    <row r="17" customFormat="false" ht="15" hidden="false" customHeight="false" outlineLevel="0" collapsed="false">
      <c r="A17" s="12" t="s">
        <v>360</v>
      </c>
      <c r="B17" s="13" t="n">
        <f aca="false">IF(B16=0,0,(B7+B8+B9+B10+B11)/B16)</f>
        <v>0</v>
      </c>
      <c r="C17" s="12"/>
    </row>
    <row r="18" customFormat="false" ht="15" hidden="false" customHeight="false" outlineLevel="0" collapsed="false">
      <c r="A18" s="12" t="s">
        <v>361</v>
      </c>
      <c r="B18" s="12" t="n">
        <f aca="false">B8+B9+B10</f>
        <v>0</v>
      </c>
      <c r="C18" s="12"/>
    </row>
    <row r="19" customFormat="false" ht="15" hidden="false" customHeight="false" outlineLevel="0" collapsed="false">
      <c r="A19" s="12" t="s">
        <v>362</v>
      </c>
      <c r="B19" s="12" t="n">
        <f aca="false">B10</f>
        <v>0</v>
      </c>
      <c r="C19" s="12"/>
    </row>
    <row r="20" customFormat="false" ht="15" hidden="false" customHeight="false" outlineLevel="0" collapsed="false">
      <c r="A20" s="12" t="s">
        <v>363</v>
      </c>
      <c r="B20" s="15" t="n">
        <f aca="false">SUMIFS(Restaurantes!$N$2:$N$102,Restaurantes!$J$2:$J$102,"Cliente")</f>
        <v>0</v>
      </c>
      <c r="C20" s="12"/>
    </row>
    <row r="21" customFormat="false" ht="15" hidden="false" customHeight="false" outlineLevel="0" collapsed="false">
      <c r="A21" s="12" t="s">
        <v>364</v>
      </c>
      <c r="B21" s="12" t="n">
        <f aca="true">COUNTIFS(Restaurantes!$J$2:$J$102,"Mensaje enviado",Restaurantes!$L$2:$L$102,"&lt;="&amp;TODAY())</f>
        <v>0</v>
      </c>
      <c r="C21" s="12"/>
    </row>
    <row r="22" customFormat="false" ht="15" hidden="false" customHeight="false" outlineLevel="0" collapsed="false">
      <c r="A22" s="12" t="s">
        <v>365</v>
      </c>
      <c r="B22" s="12" t="n">
        <f aca="false">COUNTIF(Restaurantes!$G$2:$G$102,"Celular")</f>
        <v>70</v>
      </c>
      <c r="C22" s="12"/>
    </row>
    <row r="23" customFormat="false" ht="15" hidden="false" customHeight="false" outlineLevel="0" collapsed="false">
      <c r="A23" s="12" t="s">
        <v>366</v>
      </c>
      <c r="B23" s="12" t="n">
        <f aca="false">COUNTIF(Restaurantes!$C$2:$C$102,"Medellín")</f>
        <v>84</v>
      </c>
      <c r="C23" s="12"/>
    </row>
    <row r="24" customFormat="false" ht="15" hidden="false" customHeight="false" outlineLevel="0" collapsed="false">
      <c r="A24" s="12" t="s">
        <v>367</v>
      </c>
      <c r="B24" s="12" t="n">
        <f aca="false">COUNTIF(Restaurantes!$C$2:$C$102,"Bello")</f>
        <v>17</v>
      </c>
      <c r="C24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10"/>
  </cols>
  <sheetData>
    <row r="1" customFormat="false" ht="17.35" hidden="false" customHeight="false" outlineLevel="0" collapsed="false">
      <c r="A1" s="9" t="s">
        <v>368</v>
      </c>
    </row>
    <row r="3" customFormat="false" ht="15" hidden="false" customHeight="false" outlineLevel="0" collapsed="false">
      <c r="A3" s="11" t="s">
        <v>369</v>
      </c>
      <c r="B3" s="11" t="s">
        <v>370</v>
      </c>
      <c r="C3" s="11" t="s">
        <v>371</v>
      </c>
      <c r="D3" s="11" t="s">
        <v>372</v>
      </c>
      <c r="E3" s="11" t="s">
        <v>373</v>
      </c>
    </row>
    <row r="4" customFormat="false" ht="15" hidden="false" customHeight="false" outlineLevel="0" collapsed="false">
      <c r="A4" s="16" t="s">
        <v>374</v>
      </c>
      <c r="B4" s="17" t="n">
        <v>350000</v>
      </c>
      <c r="C4" s="17" t="n">
        <v>200000</v>
      </c>
      <c r="D4" s="17" t="s">
        <v>375</v>
      </c>
      <c r="E4" s="18" t="s">
        <v>376</v>
      </c>
    </row>
    <row r="5" customFormat="false" ht="15" hidden="false" customHeight="false" outlineLevel="0" collapsed="false">
      <c r="A5" s="16" t="s">
        <v>377</v>
      </c>
      <c r="B5" s="17" t="n">
        <v>450000</v>
      </c>
      <c r="C5" s="17" t="n">
        <v>200000</v>
      </c>
      <c r="D5" s="17" t="n">
        <v>350000</v>
      </c>
      <c r="E5" s="18" t="s">
        <v>378</v>
      </c>
    </row>
    <row r="6" customFormat="false" ht="15" hidden="false" customHeight="false" outlineLevel="0" collapsed="false">
      <c r="A6" s="16" t="s">
        <v>379</v>
      </c>
      <c r="B6" s="17" t="n">
        <v>550000</v>
      </c>
      <c r="C6" s="17" t="n">
        <v>200000</v>
      </c>
      <c r="D6" s="17" t="n">
        <v>350000</v>
      </c>
      <c r="E6" s="18" t="s">
        <v>380</v>
      </c>
    </row>
    <row r="9" customFormat="false" ht="15" hidden="false" customHeight="false" outlineLevel="0" collapsed="false">
      <c r="A9" s="10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9" t="s">
        <v>382</v>
      </c>
    </row>
    <row r="3" customFormat="false" ht="60" hidden="false" customHeight="true" outlineLevel="0" collapsed="false">
      <c r="A3" s="16" t="s">
        <v>383</v>
      </c>
      <c r="B3" s="18" t="s">
        <v>384</v>
      </c>
    </row>
    <row r="4" customFormat="false" ht="60" hidden="false" customHeight="true" outlineLevel="0" collapsed="false">
      <c r="A4" s="16" t="s">
        <v>385</v>
      </c>
      <c r="B4" s="18" t="s">
        <v>386</v>
      </c>
    </row>
    <row r="5" customFormat="false" ht="60" hidden="false" customHeight="true" outlineLevel="0" collapsed="false">
      <c r="A5" s="16" t="s">
        <v>387</v>
      </c>
      <c r="B5" s="18" t="s">
        <v>388</v>
      </c>
    </row>
    <row r="6" customFormat="false" ht="60" hidden="false" customHeight="true" outlineLevel="0" collapsed="false">
      <c r="A6" s="16" t="s">
        <v>389</v>
      </c>
      <c r="B6" s="18" t="s">
        <v>390</v>
      </c>
    </row>
    <row r="7" customFormat="false" ht="60" hidden="false" customHeight="true" outlineLevel="0" collapsed="false">
      <c r="A7" s="16" t="s">
        <v>391</v>
      </c>
      <c r="B7" s="18" t="s">
        <v>392</v>
      </c>
    </row>
    <row r="8" customFormat="false" ht="60" hidden="false" customHeight="true" outlineLevel="0" collapsed="false">
      <c r="A8" s="16" t="s">
        <v>393</v>
      </c>
      <c r="B8" s="1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9" t="s">
        <v>395</v>
      </c>
    </row>
    <row r="3" customFormat="false" ht="31.5" hidden="false" customHeight="true" outlineLevel="0" collapsed="false">
      <c r="A3" s="18" t="s">
        <v>396</v>
      </c>
    </row>
    <row r="4" customFormat="false" ht="31.5" hidden="false" customHeight="true" outlineLevel="0" collapsed="false">
      <c r="A4" s="18" t="s">
        <v>397</v>
      </c>
    </row>
    <row r="5" customFormat="false" ht="31.5" hidden="false" customHeight="true" outlineLevel="0" collapsed="false">
      <c r="A5" s="18" t="s">
        <v>398</v>
      </c>
    </row>
    <row r="6" customFormat="false" ht="31.5" hidden="false" customHeight="true" outlineLevel="0" collapsed="false">
      <c r="A6" s="18" t="s">
        <v>399</v>
      </c>
    </row>
    <row r="7" customFormat="false" ht="31.5" hidden="false" customHeight="true" outlineLevel="0" collapsed="false">
      <c r="A7" s="18" t="s">
        <v>400</v>
      </c>
    </row>
    <row r="8" customFormat="false" ht="31.5" hidden="false" customHeight="true" outlineLevel="0" collapsed="false">
      <c r="A8" s="18" t="s">
        <v>401</v>
      </c>
    </row>
    <row r="9" customFormat="false" ht="31.5" hidden="false" customHeight="true" outlineLevel="0" collapsed="false">
      <c r="A9" s="18" t="s">
        <v>402</v>
      </c>
    </row>
    <row r="10" customFormat="false" ht="31.5" hidden="false" customHeight="true" outlineLevel="0" collapsed="false">
      <c r="A10" s="18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2026-10-28T06:11:24Z</dcterms:created>
  <dc:creator>openpyxl</dc:creator>
  <dc:description/>
  <dc:language>en-US</dc:language>
  <cp:lastModifiedBy/>
  <dcterms:modified xsi:type="dcterms:W3CDTF">2026-10-28T06:11:24Z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