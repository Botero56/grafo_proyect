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taurantes" sheetId="1" state="visible" r:id="rId3"/>
    <sheet name="Resumen" sheetId="2" state="visible" r:id="rId4"/>
    <sheet name="Planes" sheetId="3" state="visible" r:id="rId5"/>
    <sheet name="Mensajes" sheetId="4" state="visible" r:id="rId6"/>
    <sheet name="Cómo usar" sheetId="5" state="visible" r:id="rId7"/>
  </sheets>
  <definedNames>
    <definedName function="false" hidden="true" localSheetId="0" name="_xlnm._FilterDatabase" vbProcedure="false">Restaurantes!$A$1:$S$153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<sst xmlns="http://schemas.openxmlformats.org/spreadsheetml/2006/main" count="1490" uniqueCount="578">
  <si>
    <t xml:space="preserve">#</t>
  </si>
  <si>
    <t xml:space="preserve">Prioridad</t>
  </si>
  <si>
    <t xml:space="preserve">Restaurante</t>
  </si>
  <si>
    <t xml:space="preserve">Ciudad</t>
  </si>
  <si>
    <t xml:space="preserve">Zona</t>
  </si>
  <si>
    <t xml:space="preserve">Tipo</t>
  </si>
  <si>
    <t xml:space="preserve">Teléfono</t>
  </si>
  <si>
    <t xml:space="preserve">Línea</t>
  </si>
  <si>
    <t xml:space="preserve">WhatsApp</t>
  </si>
  <si>
    <t xml:space="preserve">Dirección</t>
  </si>
  <si>
    <t xml:space="preserve">Estado</t>
  </si>
  <si>
    <t xml:space="preserve">Primer contacto</t>
  </si>
  <si>
    <t xml:space="preserve">Seguimiento</t>
  </si>
  <si>
    <t xml:space="preserve">Plan de interés</t>
  </si>
  <si>
    <t xml:space="preserve">Mensualidad</t>
  </si>
  <si>
    <t xml:space="preserve">Próxima acción</t>
  </si>
  <si>
    <t xml:space="preserve">Notas</t>
  </si>
  <si>
    <t xml:space="preserve">Pedidos por WhatsApp</t>
  </si>
  <si>
    <t xml:space="preserve">Fuente</t>
  </si>
  <si>
    <t xml:space="preserve">Alta</t>
  </si>
  <si>
    <t xml:space="preserve">A Otro Nivel Parrilla</t>
  </si>
  <si>
    <t xml:space="preserve">Bello</t>
  </si>
  <si>
    <t xml:space="preserve">Parrilla / comida rápida</t>
  </si>
  <si>
    <t xml:space="preserve">3105435674</t>
  </si>
  <si>
    <t xml:space="preserve">Cl 57 # 67B-79</t>
  </si>
  <si>
    <t xml:space="preserve">Por contactar</t>
  </si>
  <si>
    <t xml:space="preserve">Enviar mensaje 1b</t>
  </si>
  <si>
    <t xml:space="preserve">Menú en línea con pedidos a WhatsApp (ola.click)</t>
  </si>
  <si>
    <t xml:space="preserve">Aquí Fue Trapiche</t>
  </si>
  <si>
    <t xml:space="preserve">3224852584</t>
  </si>
  <si>
    <t xml:space="preserve">Cra 66 # 57-46</t>
  </si>
  <si>
    <t xml:space="preserve">Arroz Caracas</t>
  </si>
  <si>
    <t xml:space="preserve">Comida china</t>
  </si>
  <si>
    <t xml:space="preserve">Escribir por el botón de WhatsApp de su menú en línea</t>
  </si>
  <si>
    <t xml:space="preserve">Menú en línea con pedidos a WhatsApp; reparte en Cabañas, París y Santa Ana (ola.click)</t>
  </si>
  <si>
    <t xml:space="preserve">Carnes al Carbón Valadares</t>
  </si>
  <si>
    <t xml:space="preserve">Asados</t>
  </si>
  <si>
    <t xml:space="preserve">Cra 66BB # 57A-34</t>
  </si>
  <si>
    <t xml:space="preserve">Family Restorant Bar &amp; Grill</t>
  </si>
  <si>
    <t xml:space="preserve">Andalucía</t>
  </si>
  <si>
    <t xml:space="preserve">Hamburguesas / parrilla</t>
  </si>
  <si>
    <t xml:space="preserve">3232803762</t>
  </si>
  <si>
    <t xml:space="preserve">Cl 55 # 52-26</t>
  </si>
  <si>
    <t xml:space="preserve">Garage Burger 66</t>
  </si>
  <si>
    <t xml:space="preserve">La Madera</t>
  </si>
  <si>
    <t xml:space="preserve">Hamburguesas</t>
  </si>
  <si>
    <t xml:space="preserve">Cra 53 # 26B-26</t>
  </si>
  <si>
    <t xml:space="preserve">GUSLAB</t>
  </si>
  <si>
    <t xml:space="preserve">La Mesa</t>
  </si>
  <si>
    <t xml:space="preserve">3332578535</t>
  </si>
  <si>
    <t xml:space="preserve">Cl 53A # 52-39</t>
  </si>
  <si>
    <t xml:space="preserve">Los Mandingos</t>
  </si>
  <si>
    <t xml:space="preserve">La Cabaña</t>
  </si>
  <si>
    <t xml:space="preserve">Restaurante Cuernavaca</t>
  </si>
  <si>
    <t xml:space="preserve">Centro</t>
  </si>
  <si>
    <t xml:space="preserve">Comida mexicana y típica</t>
  </si>
  <si>
    <t xml:space="preserve">3187838904</t>
  </si>
  <si>
    <t xml:space="preserve">Cra 51 # 51-27</t>
  </si>
  <si>
    <t xml:space="preserve">Alabama</t>
  </si>
  <si>
    <t xml:space="preserve">Medellín</t>
  </si>
  <si>
    <t xml:space="preserve">El Poblado</t>
  </si>
  <si>
    <t xml:space="preserve">Almuerzos caseros</t>
  </si>
  <si>
    <t xml:space="preserve">Manda el menú del día por WhatsApp y recibe los pedidos por ahí</t>
  </si>
  <si>
    <t xml:space="preserve">Arepapas</t>
  </si>
  <si>
    <t xml:space="preserve">Laureles</t>
  </si>
  <si>
    <t xml:space="preserve">Arepería</t>
  </si>
  <si>
    <t xml:space="preserve">3052572323</t>
  </si>
  <si>
    <t xml:space="preserve">Cl 43 # 76-10</t>
  </si>
  <si>
    <t xml:space="preserve">Benditas Papas</t>
  </si>
  <si>
    <t xml:space="preserve">Buenos Aires</t>
  </si>
  <si>
    <t xml:space="preserve">Comida rápida</t>
  </si>
  <si>
    <t xml:space="preserve">3137842015</t>
  </si>
  <si>
    <t xml:space="preserve">Cl 50 # 27A-87</t>
  </si>
  <si>
    <t xml:space="preserve">Brosty Combo La Y</t>
  </si>
  <si>
    <t xml:space="preserve">Asadero</t>
  </si>
  <si>
    <t xml:space="preserve">3027017636</t>
  </si>
  <si>
    <t xml:space="preserve">Cl 49 # 7-10, Barrios de Jesús</t>
  </si>
  <si>
    <t xml:space="preserve">Bárbaro Cocina Primitiva</t>
  </si>
  <si>
    <t xml:space="preserve">El Poblado / Laureles</t>
  </si>
  <si>
    <t xml:space="preserve">Restaurante con domicilios</t>
  </si>
  <si>
    <t xml:space="preserve">3176762292</t>
  </si>
  <si>
    <t xml:space="preserve">Domicilios por WhatsApp (guía de 2020); Laureles: 3182822160</t>
  </si>
  <si>
    <t xml:space="preserve">Casa del Arroz</t>
  </si>
  <si>
    <t xml:space="preserve">Belén</t>
  </si>
  <si>
    <t xml:space="preserve">Arroces</t>
  </si>
  <si>
    <t xml:space="preserve">3019075390</t>
  </si>
  <si>
    <t xml:space="preserve">Cl 30A # 82A-26</t>
  </si>
  <si>
    <t xml:space="preserve">Comidas Rápidas de la Villa</t>
  </si>
  <si>
    <t xml:space="preserve">3015745474</t>
  </si>
  <si>
    <t xml:space="preserve">Cra 81 # 32C-2</t>
  </si>
  <si>
    <t xml:space="preserve">Comidas Rápidas DTia</t>
  </si>
  <si>
    <t xml:space="preserve">Aranjuez</t>
  </si>
  <si>
    <t xml:space="preserve">3002025959</t>
  </si>
  <si>
    <t xml:space="preserve">Cra 53 # 94-71</t>
  </si>
  <si>
    <t xml:space="preserve">Correo Carne y Vino</t>
  </si>
  <si>
    <t xml:space="preserve">3107693578</t>
  </si>
  <si>
    <t xml:space="preserve">Domicilios por WhatsApp (guía de 2020)</t>
  </si>
  <si>
    <t xml:space="preserve">CR Delicias del Barrio</t>
  </si>
  <si>
    <t xml:space="preserve">Comida casera</t>
  </si>
  <si>
    <t xml:space="preserve">3135566907</t>
  </si>
  <si>
    <t xml:space="preserve">Cl 85 # 57A-99</t>
  </si>
  <si>
    <t xml:space="preserve">Criollas House</t>
  </si>
  <si>
    <t xml:space="preserve">3246020193</t>
  </si>
  <si>
    <t xml:space="preserve">Cl 91 # 50C-43</t>
  </si>
  <si>
    <t xml:space="preserve">Deliperros y Parrilla</t>
  </si>
  <si>
    <t xml:space="preserve">3206544335</t>
  </si>
  <si>
    <t xml:space="preserve">Cl 60 # 75-40</t>
  </si>
  <si>
    <t xml:space="preserve">Delirio Exquisito</t>
  </si>
  <si>
    <t xml:space="preserve">3113663840</t>
  </si>
  <si>
    <t xml:space="preserve">Otro número: 3505671075</t>
  </si>
  <si>
    <t xml:space="preserve">Due Amici Pizzería</t>
  </si>
  <si>
    <t xml:space="preserve">Pizzería</t>
  </si>
  <si>
    <t xml:space="preserve">Domicilios por WhatsApp (guía de 2020); el mismo número aparece para Correo Carne y Vino</t>
  </si>
  <si>
    <t xml:space="preserve">El Puto Taco</t>
  </si>
  <si>
    <t xml:space="preserve">Comida mexicana</t>
  </si>
  <si>
    <t xml:space="preserve">Tv 5A # 45-337</t>
  </si>
  <si>
    <t xml:space="preserve">Escudero's BBQ</t>
  </si>
  <si>
    <t xml:space="preserve">Guayabal</t>
  </si>
  <si>
    <t xml:space="preserve">Parrilla</t>
  </si>
  <si>
    <t xml:space="preserve">3017478418</t>
  </si>
  <si>
    <t xml:space="preserve">Cl 1 # 53-62</t>
  </si>
  <si>
    <t xml:space="preserve">Freedog Oviedo</t>
  </si>
  <si>
    <t xml:space="preserve">Cra 43A # 6 Sur-15</t>
  </si>
  <si>
    <t xml:space="preserve">Kuelap</t>
  </si>
  <si>
    <t xml:space="preserve">Restaurante peruano</t>
  </si>
  <si>
    <t xml:space="preserve">3164312245</t>
  </si>
  <si>
    <t xml:space="preserve">Cl 3 Sur # 43A-40</t>
  </si>
  <si>
    <t xml:space="preserve">La Chimichanga</t>
  </si>
  <si>
    <t xml:space="preserve">3015312571</t>
  </si>
  <si>
    <t xml:space="preserve">Cl 3C # 77A-14</t>
  </si>
  <si>
    <t xml:space="preserve">La Chorizería</t>
  </si>
  <si>
    <t xml:space="preserve">3112073817</t>
  </si>
  <si>
    <t xml:space="preserve">Cl 35 # 80A-70</t>
  </si>
  <si>
    <t xml:space="preserve">La Eterna</t>
  </si>
  <si>
    <t xml:space="preserve">La Candelaria</t>
  </si>
  <si>
    <t xml:space="preserve">3107364695</t>
  </si>
  <si>
    <t xml:space="preserve">Cra 50D # 66-39</t>
  </si>
  <si>
    <t xml:space="preserve">La Locura de Celia</t>
  </si>
  <si>
    <t xml:space="preserve">Cra 80A # 35-13</t>
  </si>
  <si>
    <t xml:space="preserve">La Sazón de ALDE</t>
  </si>
  <si>
    <t xml:space="preserve">3013894096</t>
  </si>
  <si>
    <t xml:space="preserve">Av Bolivariana # 42B-16</t>
  </si>
  <si>
    <t xml:space="preserve">Lo Exquisito del Mar</t>
  </si>
  <si>
    <t xml:space="preserve">Comida de mar</t>
  </si>
  <si>
    <t xml:space="preserve">3194189670</t>
  </si>
  <si>
    <t xml:space="preserve">Domicilios por WhatsApp (guía de 2020; también 3023301037)</t>
  </si>
  <si>
    <t xml:space="preserve">Los Costeñitos Exprés</t>
  </si>
  <si>
    <t xml:space="preserve">Comida costeña</t>
  </si>
  <si>
    <t xml:space="preserve">3217791979</t>
  </si>
  <si>
    <t xml:space="preserve">Cra 74 # 53-162</t>
  </si>
  <si>
    <t xml:space="preserve">Lupita Cocina Peruana</t>
  </si>
  <si>
    <t xml:space="preserve">3177178229</t>
  </si>
  <si>
    <t xml:space="preserve">Cra 43 # 52-101</t>
  </si>
  <si>
    <t xml:space="preserve">Mr. Will Restaurante</t>
  </si>
  <si>
    <t xml:space="preserve">3187587404</t>
  </si>
  <si>
    <t xml:space="preserve">Cra 69A # 44B-115</t>
  </si>
  <si>
    <t xml:space="preserve">Muzarella's Pizza</t>
  </si>
  <si>
    <t xml:space="preserve">Robledo</t>
  </si>
  <si>
    <t xml:space="preserve">Villa Flora</t>
  </si>
  <si>
    <t xml:space="preserve">Parrilla Bar Nogales Barbecue</t>
  </si>
  <si>
    <t xml:space="preserve">3103758138</t>
  </si>
  <si>
    <t xml:space="preserve">Cl 32EE # 78-109</t>
  </si>
  <si>
    <t xml:space="preserve">Parrillas Caracas</t>
  </si>
  <si>
    <t xml:space="preserve">Cra 78 # 45A-04</t>
  </si>
  <si>
    <t xml:space="preserve">Pigasus</t>
  </si>
  <si>
    <t xml:space="preserve">Belén / Laureles</t>
  </si>
  <si>
    <t xml:space="preserve">3162348112</t>
  </si>
  <si>
    <t xml:space="preserve">Domicilios por WhatsApp (guía)</t>
  </si>
  <si>
    <t xml:space="preserve">PPLP Pizzas, Pastas y Lasaña</t>
  </si>
  <si>
    <t xml:space="preserve">Puro Coco</t>
  </si>
  <si>
    <t xml:space="preserve">3002225032</t>
  </si>
  <si>
    <t xml:space="preserve">Cl 44A # 77-64</t>
  </si>
  <si>
    <t xml:space="preserve">Ricomilones Medellín</t>
  </si>
  <si>
    <t xml:space="preserve">3212549016</t>
  </si>
  <si>
    <t xml:space="preserve">Cra 50 # 52-2</t>
  </si>
  <si>
    <t xml:space="preserve">Rocoto</t>
  </si>
  <si>
    <t xml:space="preserve">3117841355</t>
  </si>
  <si>
    <t xml:space="preserve">Cra 33 # 8A-15</t>
  </si>
  <si>
    <t xml:space="preserve">Romero Cocina Artesanal</t>
  </si>
  <si>
    <t xml:space="preserve">Restaurante italiano</t>
  </si>
  <si>
    <t xml:space="preserve">3154717699</t>
  </si>
  <si>
    <t xml:space="preserve">The Garden</t>
  </si>
  <si>
    <t xml:space="preserve">Cra 32D # 9-17</t>
  </si>
  <si>
    <t xml:space="preserve">Voraz Restaurante</t>
  </si>
  <si>
    <t xml:space="preserve">3162211687</t>
  </si>
  <si>
    <t xml:space="preserve">Yony Perros</t>
  </si>
  <si>
    <t xml:space="preserve">3007541651</t>
  </si>
  <si>
    <t xml:space="preserve">Cl 73 # 76A-354, Pilarica</t>
  </si>
  <si>
    <t xml:space="preserve">Media</t>
  </si>
  <si>
    <t xml:space="preserve">Alimentos Rápido y Sabroso SAS</t>
  </si>
  <si>
    <t xml:space="preserve">3502977864</t>
  </si>
  <si>
    <t xml:space="preserve">Cl 20F # 44-40</t>
  </si>
  <si>
    <t xml:space="preserve">Enviar mensaje 1</t>
  </si>
  <si>
    <t xml:space="preserve">Sin confirmar</t>
  </si>
  <si>
    <t xml:space="preserve">Collazos Sabores y Tradición SAS</t>
  </si>
  <si>
    <t xml:space="preserve">3106867462</t>
  </si>
  <si>
    <t xml:space="preserve">Cl 52 # 47-20</t>
  </si>
  <si>
    <t xml:space="preserve">Gourmet &amp; Parrilla SAS</t>
  </si>
  <si>
    <t xml:space="preserve">3106909696</t>
  </si>
  <si>
    <t xml:space="preserve">Cra 50 # 38A-185</t>
  </si>
  <si>
    <t xml:space="preserve">Inversiones Pavesave SAS</t>
  </si>
  <si>
    <t xml:space="preserve">Restaurante (expendio a la mesa)</t>
  </si>
  <si>
    <t xml:space="preserve">3116228250</t>
  </si>
  <si>
    <t xml:space="preserve">Inversiones PPMZ SAS</t>
  </si>
  <si>
    <t xml:space="preserve">3106029755</t>
  </si>
  <si>
    <t xml:space="preserve">Que Alitas SAS</t>
  </si>
  <si>
    <t xml:space="preserve">3192808612</t>
  </si>
  <si>
    <t xml:space="preserve">Dg 55 # 43-150</t>
  </si>
  <si>
    <t xml:space="preserve">San Pío Food SAS</t>
  </si>
  <si>
    <t xml:space="preserve">Comidas</t>
  </si>
  <si>
    <t xml:space="preserve">3103708332</t>
  </si>
  <si>
    <t xml:space="preserve">Cl 24A # 55-32</t>
  </si>
  <si>
    <t xml:space="preserve">Vikingo Pollo</t>
  </si>
  <si>
    <t xml:space="preserve">3116282314</t>
  </si>
  <si>
    <t xml:space="preserve">Ama Restaurante Vegano</t>
  </si>
  <si>
    <t xml:space="preserve">Restaurante vegano</t>
  </si>
  <si>
    <t xml:space="preserve">3042622923</t>
  </si>
  <si>
    <t xml:space="preserve">Cl 12 # 43B-2</t>
  </si>
  <si>
    <t xml:space="preserve">Arepas Las Chachas SAS</t>
  </si>
  <si>
    <t xml:space="preserve">3197098156</t>
  </si>
  <si>
    <t xml:space="preserve">Cra 82A # 30-51</t>
  </si>
  <si>
    <t xml:space="preserve">Asados y Típicos al Carbón SAS</t>
  </si>
  <si>
    <t xml:space="preserve">3234561811</t>
  </si>
  <si>
    <t xml:space="preserve">Cra 52 # 46-68 L 327</t>
  </si>
  <si>
    <t xml:space="preserve">Atlántico Peruano SAS</t>
  </si>
  <si>
    <t xml:space="preserve">3104225583</t>
  </si>
  <si>
    <t xml:space="preserve">Cra 33 # 7-55</t>
  </si>
  <si>
    <t xml:space="preserve">Bon Camarón Ceviche SAS</t>
  </si>
  <si>
    <t xml:space="preserve">Cevichería</t>
  </si>
  <si>
    <t xml:space="preserve">3005944617</t>
  </si>
  <si>
    <t xml:space="preserve">Café Cliché</t>
  </si>
  <si>
    <t xml:space="preserve">Restaurante café</t>
  </si>
  <si>
    <t xml:space="preserve">3103684867</t>
  </si>
  <si>
    <t xml:space="preserve">Chapati Halal SAS</t>
  </si>
  <si>
    <t xml:space="preserve">3045686852</t>
  </si>
  <si>
    <t xml:space="preserve">Cra 48 # 7-298</t>
  </si>
  <si>
    <t xml:space="preserve">Delivery and Delicius Sushi SAS</t>
  </si>
  <si>
    <t xml:space="preserve">Sushi a domicilio</t>
  </si>
  <si>
    <t xml:space="preserve">3112962649</t>
  </si>
  <si>
    <t xml:space="preserve">Cl 9A # 38-26</t>
  </si>
  <si>
    <t xml:space="preserve">El Rey Parrillero Laureles SAS</t>
  </si>
  <si>
    <t xml:space="preserve">3017915689</t>
  </si>
  <si>
    <t xml:space="preserve">Cra 73 Circular 3 # 30</t>
  </si>
  <si>
    <t xml:space="preserve">Empanadas Las Calidosas del Centro SAS</t>
  </si>
  <si>
    <t xml:space="preserve">3216289188</t>
  </si>
  <si>
    <t xml:space="preserve">Cl 53 # 49-23</t>
  </si>
  <si>
    <t xml:space="preserve">Hanami SAS</t>
  </si>
  <si>
    <t xml:space="preserve">3013381466</t>
  </si>
  <si>
    <t xml:space="preserve">Cl 10B # 35-8</t>
  </si>
  <si>
    <t xml:space="preserve">Happy Grill Cocina SAS</t>
  </si>
  <si>
    <t xml:space="preserve">3004050749</t>
  </si>
  <si>
    <t xml:space="preserve">Happy Wraps SAS</t>
  </si>
  <si>
    <t xml:space="preserve">3174389371</t>
  </si>
  <si>
    <t xml:space="preserve">Cra 27D # 34A Sur-91</t>
  </si>
  <si>
    <t xml:space="preserve">Kuipers Parrilla SAS</t>
  </si>
  <si>
    <t xml:space="preserve">3225169897</t>
  </si>
  <si>
    <t xml:space="preserve">Cl 115 # 64</t>
  </si>
  <si>
    <t xml:space="preserve">La Casa del Alimento SAS</t>
  </si>
  <si>
    <t xml:space="preserve">3185878459</t>
  </si>
  <si>
    <t xml:space="preserve">Cra 87 # 45C-17</t>
  </si>
  <si>
    <t xml:space="preserve">La Ribera Restaurante SAS</t>
  </si>
  <si>
    <t xml:space="preserve">3017379330</t>
  </si>
  <si>
    <t xml:space="preserve">Los Chamos Arepas Venezolanas y Algo Más SAS</t>
  </si>
  <si>
    <t xml:space="preserve">3103773771</t>
  </si>
  <si>
    <t xml:space="preserve">Circular 5 # 70-30</t>
  </si>
  <si>
    <t xml:space="preserve">Love Restaurant SAS</t>
  </si>
  <si>
    <t xml:space="preserve">3052247450</t>
  </si>
  <si>
    <t xml:space="preserve">Cl 33 # 74E-156 P 7</t>
  </si>
  <si>
    <t xml:space="preserve">Lu Mara Restaurante SAS</t>
  </si>
  <si>
    <t xml:space="preserve">3015383860</t>
  </si>
  <si>
    <t xml:space="preserve">Cl 33 # 83-02</t>
  </si>
  <si>
    <t xml:space="preserve">Makabro Salvaje SAS</t>
  </si>
  <si>
    <t xml:space="preserve">3183121016</t>
  </si>
  <si>
    <t xml:space="preserve">Cra 80 # 48B-40</t>
  </si>
  <si>
    <t xml:space="preserve">Mondongos Colombia SAS</t>
  </si>
  <si>
    <t xml:space="preserve">Restaurante típico</t>
  </si>
  <si>
    <t xml:space="preserve">3106423348</t>
  </si>
  <si>
    <t xml:space="preserve">Cra 70C # 3-43</t>
  </si>
  <si>
    <t xml:space="preserve">Mystic Foods SAS</t>
  </si>
  <si>
    <t xml:space="preserve">3178548254</t>
  </si>
  <si>
    <t xml:space="preserve">Cl 45F # 77A-61</t>
  </si>
  <si>
    <t xml:space="preserve">Neo Gourmet Food SAS</t>
  </si>
  <si>
    <t xml:space="preserve">3137892487</t>
  </si>
  <si>
    <t xml:space="preserve">Niku Cartagena SAS</t>
  </si>
  <si>
    <t xml:space="preserve">3108338166</t>
  </si>
  <si>
    <t xml:space="preserve">Cl 12 # 31-85</t>
  </si>
  <si>
    <t xml:space="preserve">Office Burger Family SAS</t>
  </si>
  <si>
    <t xml:space="preserve">3005942872</t>
  </si>
  <si>
    <t xml:space="preserve">Cra 38 # 18-101 L 9723</t>
  </si>
  <si>
    <t xml:space="preserve">Ojalá Brunch</t>
  </si>
  <si>
    <t xml:space="preserve">Brunch</t>
  </si>
  <si>
    <t xml:space="preserve">3159163874</t>
  </si>
  <si>
    <t xml:space="preserve">Cra 43E # 11-46</t>
  </si>
  <si>
    <t xml:space="preserve">Oni Medellín SAS</t>
  </si>
  <si>
    <t xml:space="preserve">3246411797</t>
  </si>
  <si>
    <t xml:space="preserve">Cra 35 # 10B-80 L 105</t>
  </si>
  <si>
    <t xml:space="preserve">Operamos Restaurantes SAS</t>
  </si>
  <si>
    <t xml:space="preserve">3202342421</t>
  </si>
  <si>
    <t xml:space="preserve">Cra 35 # 29-02 Int 101</t>
  </si>
  <si>
    <t xml:space="preserve">Opulencia SAS</t>
  </si>
  <si>
    <t xml:space="preserve">3104939221</t>
  </si>
  <si>
    <t xml:space="preserve">Cl 17 # 40B-185</t>
  </si>
  <si>
    <t xml:space="preserve">Osteria Local SAS</t>
  </si>
  <si>
    <t xml:space="preserve">3183758418</t>
  </si>
  <si>
    <t xml:space="preserve">Pizzaiolo Colombia SAS</t>
  </si>
  <si>
    <t xml:space="preserve">3134095152</t>
  </si>
  <si>
    <t xml:space="preserve">Cra 37 # 8A-15</t>
  </si>
  <si>
    <t xml:space="preserve">Pizzalas AC SAS</t>
  </si>
  <si>
    <t xml:space="preserve">3012108726</t>
  </si>
  <si>
    <t xml:space="preserve">Cra 73 # 98-88</t>
  </si>
  <si>
    <t xml:space="preserve">Pollos a la Brasa Mario de la América La 44 SAS</t>
  </si>
  <si>
    <t xml:space="preserve">La América</t>
  </si>
  <si>
    <t xml:space="preserve">3104521433</t>
  </si>
  <si>
    <t xml:space="preserve">Cl 44 # 80-185</t>
  </si>
  <si>
    <t xml:space="preserve">Q'hubole Restaurante Bar</t>
  </si>
  <si>
    <t xml:space="preserve">San Javier</t>
  </si>
  <si>
    <t xml:space="preserve">Restaurante bar</t>
  </si>
  <si>
    <t xml:space="preserve">3003657171</t>
  </si>
  <si>
    <t xml:space="preserve">Cra 99 # 47A-9</t>
  </si>
  <si>
    <t xml:space="preserve">Restaurante Chino Shenlong SAS</t>
  </si>
  <si>
    <t xml:space="preserve">Restaurante chino</t>
  </si>
  <si>
    <t xml:space="preserve">3242312925</t>
  </si>
  <si>
    <t xml:space="preserve">Cra 31A # 102B-43</t>
  </si>
  <si>
    <t xml:space="preserve">Restaurante Gran Ching Hong Yun SAS</t>
  </si>
  <si>
    <t xml:space="preserve">3117582286</t>
  </si>
  <si>
    <t xml:space="preserve">Cl 37 # 88-65 Int 101</t>
  </si>
  <si>
    <t xml:space="preserve">Restaurante Las Panas SAS</t>
  </si>
  <si>
    <t xml:space="preserve">3206914312</t>
  </si>
  <si>
    <t xml:space="preserve">Cra 51 # 8 Sur-18</t>
  </si>
  <si>
    <t xml:space="preserve">Saludpan</t>
  </si>
  <si>
    <t xml:space="preserve">Restaurante vegetariano</t>
  </si>
  <si>
    <t xml:space="preserve">3104281548</t>
  </si>
  <si>
    <t xml:space="preserve">Taco House Mexican Grill SAS</t>
  </si>
  <si>
    <t xml:space="preserve">Restaurante mexicano</t>
  </si>
  <si>
    <t xml:space="preserve">3114246481</t>
  </si>
  <si>
    <t xml:space="preserve">Cra 33 # 7-127</t>
  </si>
  <si>
    <t xml:space="preserve">W Fuego Burger Inversiones SAS</t>
  </si>
  <si>
    <t xml:space="preserve">3204731706</t>
  </si>
  <si>
    <t xml:space="preserve">Dg 29D # 9 Sur-110</t>
  </si>
  <si>
    <t xml:space="preserve">Zacatecas</t>
  </si>
  <si>
    <t xml:space="preserve">Comida mexicana (cadena)</t>
  </si>
  <si>
    <t xml:space="preserve">3108947678</t>
  </si>
  <si>
    <t xml:space="preserve">Número de WhatsApp publicado (guía)</t>
  </si>
  <si>
    <t xml:space="preserve">Baja</t>
  </si>
  <si>
    <t xml:space="preserve">Cafe Coffee Beans</t>
  </si>
  <si>
    <t xml:space="preserve">Café</t>
  </si>
  <si>
    <t xml:space="preserve">3207893494</t>
  </si>
  <si>
    <t xml:space="preserve">Chickenresto Bar Bello</t>
  </si>
  <si>
    <t xml:space="preserve">Asadero / bar</t>
  </si>
  <si>
    <t xml:space="preserve">3004892646</t>
  </si>
  <si>
    <t xml:space="preserve">Dkche Servicios Alimenticios SAS</t>
  </si>
  <si>
    <t xml:space="preserve">Comidas preparadas</t>
  </si>
  <si>
    <t xml:space="preserve">3162346489</t>
  </si>
  <si>
    <t xml:space="preserve">Cl 32 # 52-20</t>
  </si>
  <si>
    <t xml:space="preserve">Eatsy SAS</t>
  </si>
  <si>
    <t xml:space="preserve">3243643277</t>
  </si>
  <si>
    <t xml:space="preserve">Dg 52 # 15A-351</t>
  </si>
  <si>
    <t xml:space="preserve">Inversiones Nancy Restrepo SAS</t>
  </si>
  <si>
    <t xml:space="preserve">Comidas (por confirmar)</t>
  </si>
  <si>
    <t xml:space="preserve">6046051431</t>
  </si>
  <si>
    <t xml:space="preserve">Llamar (fijo)</t>
  </si>
  <si>
    <t xml:space="preserve">Mi Lechoncito Restaurante Bar SAS</t>
  </si>
  <si>
    <t xml:space="preserve">6042753497</t>
  </si>
  <si>
    <t xml:space="preserve">Cra 51 # 50A-18</t>
  </si>
  <si>
    <t xml:space="preserve">Raíces El Sabor de la Vida SAS</t>
  </si>
  <si>
    <t xml:space="preserve">6045574628</t>
  </si>
  <si>
    <t xml:space="preserve">Cl 52 # 52-51</t>
  </si>
  <si>
    <t xml:space="preserve">Restaurante Bar La Mula Paisa SAS</t>
  </si>
  <si>
    <t xml:space="preserve">3117986735</t>
  </si>
  <si>
    <t xml:space="preserve">Cra 51 # 50-23</t>
  </si>
  <si>
    <t xml:space="preserve">Restaurante Rancho Grande Bello SAS</t>
  </si>
  <si>
    <t xml:space="preserve">6042721563</t>
  </si>
  <si>
    <t xml:space="preserve">Cra 50 # 48-15</t>
  </si>
  <si>
    <t xml:space="preserve">AFM SAS</t>
  </si>
  <si>
    <t xml:space="preserve">6043222896</t>
  </si>
  <si>
    <t xml:space="preserve">Av Las Palmas</t>
  </si>
  <si>
    <t xml:space="preserve">Alambique Medellín SAS</t>
  </si>
  <si>
    <t xml:space="preserve">6043113714</t>
  </si>
  <si>
    <t xml:space="preserve">Cl 10 # 43A-30</t>
  </si>
  <si>
    <t xml:space="preserve">Albenzu SAS</t>
  </si>
  <si>
    <t xml:space="preserve">6044449921</t>
  </si>
  <si>
    <t xml:space="preserve">Cra 81 # 32-98 L 133</t>
  </si>
  <si>
    <t xml:space="preserve">Ammazza Laureles SAS</t>
  </si>
  <si>
    <t xml:space="preserve">3182822160</t>
  </si>
  <si>
    <t xml:space="preserve">Cra 76 # 73B-39</t>
  </si>
  <si>
    <t xml:space="preserve">Apetentes SAS</t>
  </si>
  <si>
    <t xml:space="preserve">Cafetería</t>
  </si>
  <si>
    <t xml:space="preserve">3105145283</t>
  </si>
  <si>
    <t xml:space="preserve">Cl 20 Sur # 27-55 L 139</t>
  </si>
  <si>
    <t xml:space="preserve">Arepas del Fogón Paisa SAS</t>
  </si>
  <si>
    <t xml:space="preserve">6044481307</t>
  </si>
  <si>
    <t xml:space="preserve">Cra 28 # 59-21</t>
  </si>
  <si>
    <t xml:space="preserve">Café Retiro SAS</t>
  </si>
  <si>
    <t xml:space="preserve">3146454826</t>
  </si>
  <si>
    <t xml:space="preserve">Cra 48A # 16 Sur-86 Of 701</t>
  </si>
  <si>
    <t xml:space="preserve">Café Sudamérica Colombia SAS</t>
  </si>
  <si>
    <t xml:space="preserve">3007600519</t>
  </si>
  <si>
    <t xml:space="preserve">Cl 20 Sur # 27-55</t>
  </si>
  <si>
    <t xml:space="preserve">Chef Burger Company SAS</t>
  </si>
  <si>
    <t xml:space="preserve">6044482378</t>
  </si>
  <si>
    <t xml:space="preserve">Cra 43 # 25A-127</t>
  </si>
  <si>
    <t xml:space="preserve">Cocina Café y Pan SAS</t>
  </si>
  <si>
    <t xml:space="preserve">Café / panadería</t>
  </si>
  <si>
    <t xml:space="preserve">3104197199</t>
  </si>
  <si>
    <t xml:space="preserve">Cra 25A # 1A Sur-45 Lc 3465</t>
  </si>
  <si>
    <t xml:space="preserve">Coffee Development Projects SAS</t>
  </si>
  <si>
    <t xml:space="preserve">3246015171</t>
  </si>
  <si>
    <t xml:space="preserve">Cra 34 # 7-36</t>
  </si>
  <si>
    <t xml:space="preserve">El Pollote Manrique SAS</t>
  </si>
  <si>
    <t xml:space="preserve">Manrique</t>
  </si>
  <si>
    <t xml:space="preserve">Asadero (por confirmar)</t>
  </si>
  <si>
    <t xml:space="preserve">3017097365</t>
  </si>
  <si>
    <t xml:space="preserve">Cl 75C # 32-13</t>
  </si>
  <si>
    <t xml:space="preserve">Elemental Cocina Mesa Bar SAS</t>
  </si>
  <si>
    <t xml:space="preserve">3232121418</t>
  </si>
  <si>
    <t xml:space="preserve">Cra 52A # 12-47</t>
  </si>
  <si>
    <t xml:space="preserve">Eventos y Alimentos SAS</t>
  </si>
  <si>
    <t xml:space="preserve">Autoservicio de comidas</t>
  </si>
  <si>
    <t xml:space="preserve">3148079327</t>
  </si>
  <si>
    <t xml:space="preserve">Cra 72 # 48-100</t>
  </si>
  <si>
    <t xml:space="preserve">Gastronomía y Eventos Empresariales SAS</t>
  </si>
  <si>
    <t xml:space="preserve">6043545565</t>
  </si>
  <si>
    <t xml:space="preserve">Gourmet y Cocina SAS</t>
  </si>
  <si>
    <t xml:space="preserve">6043113103</t>
  </si>
  <si>
    <t xml:space="preserve">Cl 6 Sur # 43A-92</t>
  </si>
  <si>
    <t xml:space="preserve">Grupo Alimenticio Pizzotas SAS</t>
  </si>
  <si>
    <t xml:space="preserve">6042532343</t>
  </si>
  <si>
    <t xml:space="preserve">Cl 35 # 85B-60</t>
  </si>
  <si>
    <t xml:space="preserve">Hamburguesas La 46 SAS</t>
  </si>
  <si>
    <t xml:space="preserve">6042330893</t>
  </si>
  <si>
    <t xml:space="preserve">Cra 46 # 79-40</t>
  </si>
  <si>
    <t xml:space="preserve">Hamburguesas y Perros del Barrio SAS</t>
  </si>
  <si>
    <t xml:space="preserve">6045299868</t>
  </si>
  <si>
    <t xml:space="preserve">Cra 71 # 30A-04</t>
  </si>
  <si>
    <t xml:space="preserve">Il Capuccino SAS</t>
  </si>
  <si>
    <t xml:space="preserve">3184218260</t>
  </si>
  <si>
    <t xml:space="preserve">Cl 7 # 39-181 L 104</t>
  </si>
  <si>
    <t xml:space="preserve">Inversiones CRD Poblado SAS</t>
  </si>
  <si>
    <t xml:space="preserve">Comida rápida (Subway)</t>
  </si>
  <si>
    <t xml:space="preserve">6043227827</t>
  </si>
  <si>
    <t xml:space="preserve">Cra 25A # 1-31 Of 1118</t>
  </si>
  <si>
    <t xml:space="preserve">Inversiones Gastronómicas El Fogonazo SAS</t>
  </si>
  <si>
    <t xml:space="preserve">3225529442</t>
  </si>
  <si>
    <t xml:space="preserve">Cra 43A # 7 Sur-170 L 4031</t>
  </si>
  <si>
    <t xml:space="preserve">Inversiones Parrilla y Mar SAS</t>
  </si>
  <si>
    <t xml:space="preserve">Parrilla / mar</t>
  </si>
  <si>
    <t xml:space="preserve">6045056135</t>
  </si>
  <si>
    <t xml:space="preserve">Cl 73 # 51D-71 L 2131</t>
  </si>
  <si>
    <t xml:space="preserve">Inversiones Sushi Train SAS</t>
  </si>
  <si>
    <t xml:space="preserve">Sushi</t>
  </si>
  <si>
    <t xml:space="preserve">6042668447</t>
  </si>
  <si>
    <t xml:space="preserve">Cl 10A # 34-11 Int 1003</t>
  </si>
  <si>
    <t xml:space="preserve">La Gallinita Aranjuez SAS</t>
  </si>
  <si>
    <t xml:space="preserve">3188256809</t>
  </si>
  <si>
    <t xml:space="preserve">Cra 48 # 93-97</t>
  </si>
  <si>
    <t xml:space="preserve">La Oculta Medellín SAS</t>
  </si>
  <si>
    <t xml:space="preserve">Restaurante (por confirmar)</t>
  </si>
  <si>
    <t xml:space="preserve">3015194439</t>
  </si>
  <si>
    <t xml:space="preserve">Las 3P Italianas SAS</t>
  </si>
  <si>
    <t xml:space="preserve">6044482874</t>
  </si>
  <si>
    <t xml:space="preserve">Cra 78 # 45E-61</t>
  </si>
  <si>
    <t xml:space="preserve">Las Tres SAS</t>
  </si>
  <si>
    <t xml:space="preserve">6044485003</t>
  </si>
  <si>
    <t xml:space="preserve">Cl 17A Sur # 44-148</t>
  </si>
  <si>
    <t xml:space="preserve">Laupa SAS</t>
  </si>
  <si>
    <t xml:space="preserve">6044804460</t>
  </si>
  <si>
    <t xml:space="preserve">Laureles Peruano SAS</t>
  </si>
  <si>
    <t xml:space="preserve">6043225142</t>
  </si>
  <si>
    <t xml:space="preserve">Cl 39D # 74-62</t>
  </si>
  <si>
    <t xml:space="preserve">Living Restaurantes SAS</t>
  </si>
  <si>
    <t xml:space="preserve">6044483260</t>
  </si>
  <si>
    <t xml:space="preserve">Los Mal Sentados SAS</t>
  </si>
  <si>
    <t xml:space="preserve">6043116199</t>
  </si>
  <si>
    <t xml:space="preserve">Cra 36 # 10B-26</t>
  </si>
  <si>
    <t xml:space="preserve">Medellín 777 SAS</t>
  </si>
  <si>
    <t xml:space="preserve">3017809516</t>
  </si>
  <si>
    <t xml:space="preserve">Cra 29 # 16-201</t>
  </si>
  <si>
    <t xml:space="preserve">Mojitos Restaurant Bar SAS</t>
  </si>
  <si>
    <t xml:space="preserve">3117496151</t>
  </si>
  <si>
    <t xml:space="preserve">Molido Café y Pan SAS</t>
  </si>
  <si>
    <t xml:space="preserve">3507750139</t>
  </si>
  <si>
    <t xml:space="preserve">Mundo Verde Salud Gourmet SAS</t>
  </si>
  <si>
    <t xml:space="preserve">Restaurante saludable</t>
  </si>
  <si>
    <t xml:space="preserve">6044441838</t>
  </si>
  <si>
    <t xml:space="preserve">Cra 43A # 1A Sur-29</t>
  </si>
  <si>
    <t xml:space="preserve">Nutriendo Almas SAS</t>
  </si>
  <si>
    <t xml:space="preserve">6043012030</t>
  </si>
  <si>
    <t xml:space="preserve">Cl 18 # 43A Sur-174</t>
  </si>
  <si>
    <t xml:space="preserve">Oasis Club Café SAS</t>
  </si>
  <si>
    <t xml:space="preserve">3054146615</t>
  </si>
  <si>
    <t xml:space="preserve">Cra 73 # 74-10</t>
  </si>
  <si>
    <t xml:space="preserve">Organización Nueva Aurora SAS</t>
  </si>
  <si>
    <t xml:space="preserve">6044444478</t>
  </si>
  <si>
    <t xml:space="preserve">Pizza Americana SAS</t>
  </si>
  <si>
    <t xml:space="preserve">6044804669</t>
  </si>
  <si>
    <t xml:space="preserve">Cra 48 # 63A-35</t>
  </si>
  <si>
    <t xml:space="preserve">Rico Pa Llevar SAS</t>
  </si>
  <si>
    <t xml:space="preserve">Comida para llevar</t>
  </si>
  <si>
    <t xml:space="preserve">6045219703</t>
  </si>
  <si>
    <t xml:space="preserve">Cra 43E # 12-16</t>
  </si>
  <si>
    <t xml:space="preserve">Roll Company SAS</t>
  </si>
  <si>
    <t xml:space="preserve">Restaurante (sushi por confirmar)</t>
  </si>
  <si>
    <t xml:space="preserve">3104588500</t>
  </si>
  <si>
    <t xml:space="preserve">Av 74B # 39B-140</t>
  </si>
  <si>
    <t xml:space="preserve">Sabores de India SAS</t>
  </si>
  <si>
    <t xml:space="preserve">Restaurante indio</t>
  </si>
  <si>
    <t xml:space="preserve">6043228781</t>
  </si>
  <si>
    <t xml:space="preserve">Somos Uno Resto Café SAS</t>
  </si>
  <si>
    <t xml:space="preserve">Toscanna Pizzería SAS</t>
  </si>
  <si>
    <t xml:space="preserve">6043536605</t>
  </si>
  <si>
    <t xml:space="preserve">Circular 70 # 10-01</t>
  </si>
  <si>
    <t xml:space="preserve">Vegan &amp; Veggie SAS</t>
  </si>
  <si>
    <t xml:space="preserve">3044315616</t>
  </si>
  <si>
    <t xml:space="preserve">Cl 12 # 43D-109</t>
  </si>
  <si>
    <t xml:space="preserve">Resumen de la prospección</t>
  </si>
  <si>
    <t xml:space="preserve">Se actualiza solo a medida que cambia la columna Estado en Restaurantes.</t>
  </si>
  <si>
    <t xml:space="preserve">Restaurantes</t>
  </si>
  <si>
    <t xml:space="preserve">% del total</t>
  </si>
  <si>
    <t xml:space="preserve">Mensaje enviado</t>
  </si>
  <si>
    <t xml:space="preserve">Respondió</t>
  </si>
  <si>
    <t xml:space="preserve">Demo agendada</t>
  </si>
  <si>
    <t xml:space="preserve">En prueba</t>
  </si>
  <si>
    <t xml:space="preserve">Cliente</t>
  </si>
  <si>
    <t xml:space="preserve">No interesado</t>
  </si>
  <si>
    <t xml:space="preserve">Número errado</t>
  </si>
  <si>
    <t xml:space="preserve">Total</t>
  </si>
  <si>
    <t xml:space="preserve">Indicadores</t>
  </si>
  <si>
    <t xml:space="preserve">Contactados (todo menos Por contactar)</t>
  </si>
  <si>
    <t xml:space="preserve">Tasa de respuesta</t>
  </si>
  <si>
    <t xml:space="preserve">Demos, pruebas y clientes</t>
  </si>
  <si>
    <t xml:space="preserve">Clientes</t>
  </si>
  <si>
    <t xml:space="preserve">Ingreso mensual de clientes (COP)</t>
  </si>
  <si>
    <t xml:space="preserve">Seguimientos vencidos hoy</t>
  </si>
  <si>
    <t xml:space="preserve">Restaurantes con celular</t>
  </si>
  <si>
    <t xml:space="preserve">Restaurantes en Medellín</t>
  </si>
  <si>
    <t xml:space="preserve">Restaurantes en Bello</t>
  </si>
  <si>
    <t xml:space="preserve">Prioridad alta (ya venden por WhatsApp)</t>
  </si>
  <si>
    <t xml:space="preserve">Prioridad media</t>
  </si>
  <si>
    <t xml:space="preserve">Prioridad baja</t>
  </si>
  <si>
    <t xml:space="preserve">Planes y precios</t>
  </si>
  <si>
    <t xml:space="preserve">Plan</t>
  </si>
  <si>
    <t xml:space="preserve">Mensualidad (COP)</t>
  </si>
  <si>
    <t xml:space="preserve">Instalación (COP)</t>
  </si>
  <si>
    <t xml:space="preserve">Impresora opcional (COP)</t>
  </si>
  <si>
    <t xml:space="preserve">Incluye</t>
  </si>
  <si>
    <t xml:space="preserve">Básico</t>
  </si>
  <si>
    <t xml:space="preserve">No disponible</t>
  </si>
  <si>
    <t xml:space="preserve">Bot de pedidos (menú, catálogo, audios), IA del administrador, domicilios por zona y efectivo. Transferencias las confirma una persona.</t>
  </si>
  <si>
    <t xml:space="preserve">Avanzado</t>
  </si>
  <si>
    <t xml:space="preserve">Todo lo del Básico, y el bot lee el comprobante de transferencia. Impresora de comandas opcional.</t>
  </si>
  <si>
    <t xml:space="preserve">Premium</t>
  </si>
  <si>
    <t xml:space="preserve">Todo lo del Avanzado, más domiciliarios con liquidación y cierre diario, estadísticas, consultas de pedidos y Excel.</t>
  </si>
  <si>
    <t xml:space="preserve">Fuente: tabla de planes del panel, enviada por el dueño del producto (28-oct-2026).</t>
  </si>
  <si>
    <t xml:space="preserve">Mensajes para WhatsApp (uno por uno, desde el número de ventas)</t>
  </si>
  <si>
    <t xml:space="preserve">1. Primer mensaje</t>
  </si>
  <si>
    <t xml:space="preserve">Buenas, ¿hablo con el restaurante {nombre}? Mi nombre es {su nombre}, le escribo desde Medellín. Hicimos un asistente para el WhatsApp de restaurantes: le contesta a los clientes, toma el pedido completo con la dirección y le calcula el domicilio según el barrio. El menú del día se carga mandando una foto. ¿Le puedo mostrar cómo funciona?</t>
  </si>
  <si>
    <t xml:space="preserve">1b. Ya venden por WhatsApp</t>
  </si>
  <si>
    <t xml:space="preserve">Buenas, ¿hablo con {nombre}? Mi nombre es {su nombre}. Vi que reciben los pedidos por WhatsApp. A la hora del almuerzo, ¿quién contesta todos esos mensajes? Tenemos un asistente que los contesta solo: toma el pedido, confirma la dirección, calcula el domicilio, revisa el comprobante de la transferencia y le manda la comanda a la cocina. Usted solo revisa. ¿Le muestro cómo quedaría con su menú?</t>
  </si>
  <si>
    <t xml:space="preserve">2. Si hacen domicilios</t>
  </si>
  <si>
    <t xml:space="preserve">Hola, vi que {nombre} hace domicilios por WhatsApp. A la hora del almuerzo se llenan los mensajes y alguien tiene que contestar uno por uno, ¿cierto? Tenemos un asistente que contesta, toma el pedido y se lo deja listo. Si quiere, la comanda le sale impresa en la cocina. ¿Le gustaría verlo funcionando con su propio menú?</t>
  </si>
  <si>
    <t xml:space="preserve">3. Seguimiento (una sola vez)</t>
  </si>
  <si>
    <t xml:space="preserve">Hola de nuevo. Le escribí la semana pasada por el asistente de pedidos para WhatsApp. Si quiere, le preparo una prueba con el menú de {nombre} de esta semana y usted mismo le escribe como si fuera un cliente. ¿Le sirve?</t>
  </si>
  <si>
    <t xml:space="preserve">4. Cuando dicen que sí</t>
  </si>
  <si>
    <t xml:space="preserve">Listo, con mucho gusto. Mándeme una foto del menú de hoy y los barrios a donde hace domicilios con el valor de cada uno. Con eso se lo dejo armado y le paso el número para que pruebe.</t>
  </si>
  <si>
    <t xml:space="preserve">5. Llamada a un fijo</t>
  </si>
  <si>
    <t xml:space="preserve">Buenas, ¿con el restaurante {nombre}? Le habla {su nombre}. ¿Ustedes reciben pedidos por WhatsApp? Le pregunto porque tenemos un asistente que los contesta y toma el pedido completo. ¿Me regala un celular para mandarle cómo funciona?</t>
  </si>
  <si>
    <t xml:space="preserve">Si dicen que no</t>
  </si>
  <si>
    <t xml:space="preserve">Listo, no le vuelvo a escribir. Que le vaya muy bien.</t>
  </si>
  <si>
    <t xml:space="preserve">Cómo usar esta hoja</t>
  </si>
  <si>
    <t xml:space="preserve">1. Empiece por la prioridad Alta: son restaurantes que ya reciben pedidos por WhatsApp (tienen menú en línea que manda el pedido a WhatsApp, o publican su WhatsApp para domicilios). Media: tipo de negocio que suele vender a domicilio y con celular, pero sin prueba de que use WhatsApp. Baja: cafés, bares, restaurantes de mesa o solo con fijo.</t>
  </si>
  <si>
    <t xml:space="preserve">2. Las celdas amarillas de Restaurantes son las que usted llena: Estado, Primer contacto, Plan de interés, Próxima acción y Notas. Lo demás se calcula solo.</t>
  </si>
  <si>
    <t xml:space="preserve">3. Ejemplo: escribe por WhatsApp a un restaurante → Estado = Mensaje enviado, Primer contacto = 28/10/2026. La columna Seguimiento muestra 01/11/2026 y se pone en rojo cuando ya toca escribir de nuevo.</t>
  </si>
  <si>
    <t xml:space="preserve">4. La columna WhatsApp abre el chat directo con el celular del restaurante. Los fijos (604...) se llaman: use el mensaje 5 de la pestaña Mensajes.</t>
  </si>
  <si>
    <t xml:space="preserve">5. Cuando alguien escoja un plan, márquelo en Plan de interés; la mensualidad sale de la pestaña Planes.</t>
  </si>
  <si>
    <t xml:space="preserve">6. Si el número no existe o es de otro negocio, Estado = Número errado.</t>
  </si>
  <si>
    <t xml:space="preserve">7. Para no arriesgar el número de ventas: 30 a 40 mensajes al día, uno por uno, nunca desde el número del bot.</t>
  </si>
  <si>
    <t xml:space="preserve">8. Origen de los datos: páginas de menú en línea de cada restaurante (ola.click), directorios de empresas registradas (informacolombia.com y einforma.co) y guías de restaurantes con domicilio (medellinguru.com, varias de 2020). Son registros públicos que pueden estar desactualizados; la columna Fuente lleva a la ficha de cada uno.</t>
  </si>
  <si>
    <t xml:space="preserve">9. Para conseguir más restaurantes: python3 ventas/buscar_restaurantes.py --solo-contactables (necesita acceso a OpenStreetMap).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</si>
</sst>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d/mm/yyyy"/>
    <numFmt numFmtId="167" formatCode="\$#,##0;&quot;-$&quot;#,##0;&quot;&quot;"/>
    <numFmt numFmtId="168" formatCode="0.0%"/>
    <numFmt numFmtId="169" formatCode="\$#,##0;&quot;-$&quot;#,##0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EB9C"/>
        </patternFill>
      </fill>
    </dxf>
    <dxf>
      <fill>
        <patternFill>
          <bgColor rgb="FFE7E6E6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26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26"/>
    <col collapsed="false" customWidth="true" hidden="false" outlineLevel="0" max="17" min="17" style="0" width="34"/>
    <col collapsed="false" customWidth="true" hidden="false" outlineLevel="0" max="18" min="18" style="0" width="40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n">
        <v>1</v>
      </c>
      <c r="B2" s="3" t="s">
        <v>19</v>
      </c>
      <c r="C2" s="2" t="s">
        <v>20</v>
      </c>
      <c r="D2" s="2" t="s">
        <v>21</v>
      </c>
      <c r="E2" s="2"/>
      <c r="F2" s="2" t="s">
        <v>22</v>
      </c>
      <c r="G2" s="4" t="s">
        <v>23</v>
      </c>
      <c r="H2" s="2" t="str">
        <f aca="false">IF(G2="","Sin número",IF(LEFT(G2,1)="3","Celular","Fijo"))</f>
        <v>Celular</v>
      </c>
      <c r="I2" s="5" t="str">
        <f aca="false">IF(H2="Celular",HYPERLINK("https://wa.me/57"&amp;G2,"Abrir chat"),"")</f>
        <v>Abrir chat</v>
      </c>
      <c r="J2" s="2" t="s">
        <v>24</v>
      </c>
      <c r="K2" s="6" t="s">
        <v>25</v>
      </c>
      <c r="L2" s="7"/>
      <c r="M2" s="8" t="str">
        <f aca="false">IF(L2="","",L2+4)</f>
        <v/>
      </c>
      <c r="N2" s="6"/>
      <c r="O2" s="9" t="str">
        <f aca="false">IF(N2="","",INDEX(Planes!$B$4:$B$6,MATCH(N2,Planes!$A$4:$A$6,0)))</f>
        <v/>
      </c>
      <c r="P2" s="6" t="s">
        <v>26</v>
      </c>
      <c r="Q2" s="6"/>
      <c r="R2" s="2" t="s">
        <v>27</v>
      </c>
      <c r="S2" s="5" t="str">
        <f aca="false">HYPERLINK("https://aotronivelparrilla.ola.click/","Ver fuente")</f>
        <v>Ver fuente</v>
      </c>
    </row>
    <row r="3" customFormat="false" ht="15" hidden="false" customHeight="false" outlineLevel="0" collapsed="false">
      <c r="A3" s="2" t="n">
        <v>2</v>
      </c>
      <c r="B3" s="3" t="s">
        <v>19</v>
      </c>
      <c r="C3" s="2" t="s">
        <v>28</v>
      </c>
      <c r="D3" s="2" t="s">
        <v>21</v>
      </c>
      <c r="E3" s="2"/>
      <c r="F3" s="2" t="s">
        <v>2</v>
      </c>
      <c r="G3" s="4" t="s">
        <v>29</v>
      </c>
      <c r="H3" s="2" t="str">
        <f aca="false">IF(G3="","Sin número",IF(LEFT(G3,1)="3","Celular","Fijo"))</f>
        <v>Celular</v>
      </c>
      <c r="I3" s="5" t="str">
        <f aca="false">IF(H3="Celular",HYPERLINK("https://wa.me/57"&amp;G3,"Abrir chat"),"")</f>
        <v>Abrir chat</v>
      </c>
      <c r="J3" s="2" t="s">
        <v>30</v>
      </c>
      <c r="K3" s="6" t="s">
        <v>25</v>
      </c>
      <c r="L3" s="7"/>
      <c r="M3" s="8" t="str">
        <f aca="false">IF(L3="","",L3+4)</f>
        <v/>
      </c>
      <c r="N3" s="6"/>
      <c r="O3" s="9" t="str">
        <f aca="false">IF(N3="","",INDEX(Planes!$B$4:$B$6,MATCH(N3,Planes!$A$4:$A$6,0)))</f>
        <v/>
      </c>
      <c r="P3" s="6" t="s">
        <v>26</v>
      </c>
      <c r="Q3" s="6"/>
      <c r="R3" s="2" t="s">
        <v>27</v>
      </c>
      <c r="S3" s="5" t="str">
        <f aca="false">HYPERLINK("https://aquifuedomicilio.ola.click/","Ver fuente")</f>
        <v>Ver fuente</v>
      </c>
    </row>
    <row r="4" customFormat="false" ht="15" hidden="false" customHeight="false" outlineLevel="0" collapsed="false">
      <c r="A4" s="2" t="n">
        <v>3</v>
      </c>
      <c r="B4" s="3" t="s">
        <v>19</v>
      </c>
      <c r="C4" s="2" t="s">
        <v>31</v>
      </c>
      <c r="D4" s="2" t="s">
        <v>21</v>
      </c>
      <c r="E4" s="2"/>
      <c r="F4" s="2" t="s">
        <v>32</v>
      </c>
      <c r="G4" s="4"/>
      <c r="H4" s="2" t="str">
        <f aca="false">IF(G4="","Sin número",IF(LEFT(G4,1)="3","Celular","Fijo"))</f>
        <v>Sin número</v>
      </c>
      <c r="I4" s="5" t="str">
        <f aca="false">IF(H4="Celular",HYPERLINK("https://wa.me/57"&amp;G4,"Abrir chat"),"")</f>
        <v/>
      </c>
      <c r="J4" s="2"/>
      <c r="K4" s="6" t="s">
        <v>25</v>
      </c>
      <c r="L4" s="7"/>
      <c r="M4" s="8" t="str">
        <f aca="false">IF(L4="","",L4+4)</f>
        <v/>
      </c>
      <c r="N4" s="6"/>
      <c r="O4" s="9" t="str">
        <f aca="false">IF(N4="","",INDEX(Planes!$B$4:$B$6,MATCH(N4,Planes!$A$4:$A$6,0)))</f>
        <v/>
      </c>
      <c r="P4" s="6" t="s">
        <v>33</v>
      </c>
      <c r="Q4" s="6"/>
      <c r="R4" s="2" t="s">
        <v>34</v>
      </c>
      <c r="S4" s="5" t="str">
        <f aca="false">HYPERLINK("https://arroz-caracas.ola.click/info","Ver fuente")</f>
        <v>Ver fuente</v>
      </c>
    </row>
    <row r="5" customFormat="false" ht="15" hidden="false" customHeight="false" outlineLevel="0" collapsed="false">
      <c r="A5" s="2" t="n">
        <v>4</v>
      </c>
      <c r="B5" s="3" t="s">
        <v>19</v>
      </c>
      <c r="C5" s="2" t="s">
        <v>35</v>
      </c>
      <c r="D5" s="2" t="s">
        <v>21</v>
      </c>
      <c r="E5" s="2"/>
      <c r="F5" s="2" t="s">
        <v>36</v>
      </c>
      <c r="G5" s="4"/>
      <c r="H5" s="2" t="str">
        <f aca="false">IF(G5="","Sin número",IF(LEFT(G5,1)="3","Celular","Fijo"))</f>
        <v>Sin número</v>
      </c>
      <c r="I5" s="5" t="str">
        <f aca="false">IF(H5="Celular",HYPERLINK("https://wa.me/57"&amp;G5,"Abrir chat"),"")</f>
        <v/>
      </c>
      <c r="J5" s="2" t="s">
        <v>37</v>
      </c>
      <c r="K5" s="6" t="s">
        <v>25</v>
      </c>
      <c r="L5" s="7"/>
      <c r="M5" s="8" t="str">
        <f aca="false">IF(L5="","",L5+4)</f>
        <v/>
      </c>
      <c r="N5" s="6"/>
      <c r="O5" s="9" t="str">
        <f aca="false">IF(N5="","",INDEX(Planes!$B$4:$B$6,MATCH(N5,Planes!$A$4:$A$6,0)))</f>
        <v/>
      </c>
      <c r="P5" s="6" t="s">
        <v>33</v>
      </c>
      <c r="Q5" s="6"/>
      <c r="R5" s="2" t="s">
        <v>27</v>
      </c>
      <c r="S5" s="5" t="str">
        <f aca="false">HYPERLINK("https://carnesalcarbonvaladares.ola.click/","Ver fuente")</f>
        <v>Ver fuente</v>
      </c>
    </row>
    <row r="6" customFormat="false" ht="15" hidden="false" customHeight="false" outlineLevel="0" collapsed="false">
      <c r="A6" s="2" t="n">
        <v>5</v>
      </c>
      <c r="B6" s="3" t="s">
        <v>19</v>
      </c>
      <c r="C6" s="2" t="s">
        <v>38</v>
      </c>
      <c r="D6" s="2" t="s">
        <v>21</v>
      </c>
      <c r="E6" s="2" t="s">
        <v>39</v>
      </c>
      <c r="F6" s="2" t="s">
        <v>40</v>
      </c>
      <c r="G6" s="4" t="s">
        <v>41</v>
      </c>
      <c r="H6" s="2" t="str">
        <f aca="false">IF(G6="","Sin número",IF(LEFT(G6,1)="3","Celular","Fijo"))</f>
        <v>Celular</v>
      </c>
      <c r="I6" s="5" t="str">
        <f aca="false">IF(H6="Celular",HYPERLINK("https://wa.me/57"&amp;G6,"Abrir chat"),"")</f>
        <v>Abrir chat</v>
      </c>
      <c r="J6" s="2" t="s">
        <v>42</v>
      </c>
      <c r="K6" s="6" t="s">
        <v>25</v>
      </c>
      <c r="L6" s="7"/>
      <c r="M6" s="8" t="str">
        <f aca="false">IF(L6="","",L6+4)</f>
        <v/>
      </c>
      <c r="N6" s="6"/>
      <c r="O6" s="9" t="str">
        <f aca="false">IF(N6="","",INDEX(Planes!$B$4:$B$6,MATCH(N6,Planes!$A$4:$A$6,0)))</f>
        <v/>
      </c>
      <c r="P6" s="6" t="s">
        <v>26</v>
      </c>
      <c r="Q6" s="6"/>
      <c r="R6" s="2" t="s">
        <v>27</v>
      </c>
      <c r="S6" s="5" t="str">
        <f aca="false">HYPERLINK("https://familyburger-col.ola.click/","Ver fuente")</f>
        <v>Ver fuente</v>
      </c>
    </row>
    <row r="7" customFormat="false" ht="15" hidden="false" customHeight="false" outlineLevel="0" collapsed="false">
      <c r="A7" s="2" t="n">
        <v>6</v>
      </c>
      <c r="B7" s="3" t="s">
        <v>19</v>
      </c>
      <c r="C7" s="2" t="s">
        <v>43</v>
      </c>
      <c r="D7" s="2" t="s">
        <v>21</v>
      </c>
      <c r="E7" s="2" t="s">
        <v>44</v>
      </c>
      <c r="F7" s="2" t="s">
        <v>45</v>
      </c>
      <c r="G7" s="4"/>
      <c r="H7" s="2" t="str">
        <f aca="false">IF(G7="","Sin número",IF(LEFT(G7,1)="3","Celular","Fijo"))</f>
        <v>Sin número</v>
      </c>
      <c r="I7" s="5" t="str">
        <f aca="false">IF(H7="Celular",HYPERLINK("https://wa.me/57"&amp;G7,"Abrir chat"),"")</f>
        <v/>
      </c>
      <c r="J7" s="2" t="s">
        <v>46</v>
      </c>
      <c r="K7" s="6" t="s">
        <v>25</v>
      </c>
      <c r="L7" s="7"/>
      <c r="M7" s="8" t="str">
        <f aca="false">IF(L7="","",L7+4)</f>
        <v/>
      </c>
      <c r="N7" s="6"/>
      <c r="O7" s="9" t="str">
        <f aca="false">IF(N7="","",INDEX(Planes!$B$4:$B$6,MATCH(N7,Planes!$A$4:$A$6,0)))</f>
        <v/>
      </c>
      <c r="P7" s="6" t="s">
        <v>33</v>
      </c>
      <c r="Q7" s="6"/>
      <c r="R7" s="2" t="s">
        <v>27</v>
      </c>
      <c r="S7" s="5" t="str">
        <f aca="false">HYPERLINK("https://garage-burger-66.ola.click/","Ver fuente")</f>
        <v>Ver fuente</v>
      </c>
    </row>
    <row r="8" customFormat="false" ht="15" hidden="false" customHeight="false" outlineLevel="0" collapsed="false">
      <c r="A8" s="2" t="n">
        <v>7</v>
      </c>
      <c r="B8" s="3" t="s">
        <v>19</v>
      </c>
      <c r="C8" s="2" t="s">
        <v>47</v>
      </c>
      <c r="D8" s="2" t="s">
        <v>21</v>
      </c>
      <c r="E8" s="2" t="s">
        <v>48</v>
      </c>
      <c r="F8" s="2" t="s">
        <v>2</v>
      </c>
      <c r="G8" s="4" t="s">
        <v>49</v>
      </c>
      <c r="H8" s="2" t="str">
        <f aca="false">IF(G8="","Sin número",IF(LEFT(G8,1)="3","Celular","Fijo"))</f>
        <v>Celular</v>
      </c>
      <c r="I8" s="5" t="str">
        <f aca="false">IF(H8="Celular",HYPERLINK("https://wa.me/57"&amp;G8,"Abrir chat"),"")</f>
        <v>Abrir chat</v>
      </c>
      <c r="J8" s="2" t="s">
        <v>50</v>
      </c>
      <c r="K8" s="6" t="s">
        <v>25</v>
      </c>
      <c r="L8" s="7"/>
      <c r="M8" s="8" t="str">
        <f aca="false">IF(L8="","",L8+4)</f>
        <v/>
      </c>
      <c r="N8" s="6"/>
      <c r="O8" s="9" t="str">
        <f aca="false">IF(N8="","",INDEX(Planes!$B$4:$B$6,MATCH(N8,Planes!$A$4:$A$6,0)))</f>
        <v/>
      </c>
      <c r="P8" s="6" t="s">
        <v>26</v>
      </c>
      <c r="Q8" s="6"/>
      <c r="R8" s="2" t="s">
        <v>27</v>
      </c>
      <c r="S8" s="5" t="str">
        <f aca="false">HYPERLINK("https://guslab.ola.click/","Ver fuente")</f>
        <v>Ver fuente</v>
      </c>
    </row>
    <row r="9" customFormat="false" ht="15" hidden="false" customHeight="false" outlineLevel="0" collapsed="false">
      <c r="A9" s="2" t="n">
        <v>8</v>
      </c>
      <c r="B9" s="3" t="s">
        <v>19</v>
      </c>
      <c r="C9" s="2" t="s">
        <v>51</v>
      </c>
      <c r="D9" s="2" t="s">
        <v>21</v>
      </c>
      <c r="E9" s="2" t="s">
        <v>52</v>
      </c>
      <c r="F9" s="2" t="s">
        <v>2</v>
      </c>
      <c r="G9" s="4"/>
      <c r="H9" s="2" t="str">
        <f aca="false">IF(G9="","Sin número",IF(LEFT(G9,1)="3","Celular","Fijo"))</f>
        <v>Sin número</v>
      </c>
      <c r="I9" s="5" t="str">
        <f aca="false">IF(H9="Celular",HYPERLINK("https://wa.me/57"&amp;G9,"Abrir chat"),"")</f>
        <v/>
      </c>
      <c r="J9" s="2"/>
      <c r="K9" s="6" t="s">
        <v>25</v>
      </c>
      <c r="L9" s="7"/>
      <c r="M9" s="8" t="str">
        <f aca="false">IF(L9="","",L9+4)</f>
        <v/>
      </c>
      <c r="N9" s="6"/>
      <c r="O9" s="9" t="str">
        <f aca="false">IF(N9="","",INDEX(Planes!$B$4:$B$6,MATCH(N9,Planes!$A$4:$A$6,0)))</f>
        <v/>
      </c>
      <c r="P9" s="6" t="s">
        <v>33</v>
      </c>
      <c r="Q9" s="6"/>
      <c r="R9" s="2" t="s">
        <v>27</v>
      </c>
      <c r="S9" s="5" t="str">
        <f aca="false">HYPERLINK("https://los-mandingos.ola.click/","Ver fuente")</f>
        <v>Ver fuente</v>
      </c>
    </row>
    <row r="10" customFormat="false" ht="15" hidden="false" customHeight="false" outlineLevel="0" collapsed="false">
      <c r="A10" s="2" t="n">
        <v>9</v>
      </c>
      <c r="B10" s="3" t="s">
        <v>19</v>
      </c>
      <c r="C10" s="2" t="s">
        <v>53</v>
      </c>
      <c r="D10" s="2" t="s">
        <v>21</v>
      </c>
      <c r="E10" s="2" t="s">
        <v>54</v>
      </c>
      <c r="F10" s="2" t="s">
        <v>55</v>
      </c>
      <c r="G10" s="4" t="s">
        <v>56</v>
      </c>
      <c r="H10" s="2" t="str">
        <f aca="false">IF(G10="","Sin número",IF(LEFT(G10,1)="3","Celular","Fijo"))</f>
        <v>Celular</v>
      </c>
      <c r="I10" s="5" t="str">
        <f aca="false">IF(H10="Celular",HYPERLINK("https://wa.me/57"&amp;G10,"Abrir chat"),"")</f>
        <v>Abrir chat</v>
      </c>
      <c r="J10" s="2" t="s">
        <v>57</v>
      </c>
      <c r="K10" s="6" t="s">
        <v>25</v>
      </c>
      <c r="L10" s="7"/>
      <c r="M10" s="8" t="str">
        <f aca="false">IF(L10="","",L10+4)</f>
        <v/>
      </c>
      <c r="N10" s="6"/>
      <c r="O10" s="9" t="str">
        <f aca="false">IF(N10="","",INDEX(Planes!$B$4:$B$6,MATCH(N10,Planes!$A$4:$A$6,0)))</f>
        <v/>
      </c>
      <c r="P10" s="6" t="s">
        <v>26</v>
      </c>
      <c r="Q10" s="6"/>
      <c r="R10" s="2" t="s">
        <v>27</v>
      </c>
      <c r="S10" s="5" t="str">
        <f aca="false">HYPERLINK("https://cuernavaca.ola.click/","Ver fuente")</f>
        <v>Ver fuente</v>
      </c>
    </row>
    <row r="11" customFormat="false" ht="15" hidden="false" customHeight="false" outlineLevel="0" collapsed="false">
      <c r="A11" s="2" t="n">
        <v>10</v>
      </c>
      <c r="B11" s="3" t="s">
        <v>19</v>
      </c>
      <c r="C11" s="2" t="s">
        <v>58</v>
      </c>
      <c r="D11" s="2" t="s">
        <v>59</v>
      </c>
      <c r="E11" s="2" t="s">
        <v>60</v>
      </c>
      <c r="F11" s="2" t="s">
        <v>61</v>
      </c>
      <c r="G11" s="4"/>
      <c r="H11" s="2" t="str">
        <f aca="false">IF(G11="","Sin número",IF(LEFT(G11,1)="3","Celular","Fijo"))</f>
        <v>Sin número</v>
      </c>
      <c r="I11" s="5" t="str">
        <f aca="false">IF(H11="Celular",HYPERLINK("https://wa.me/57"&amp;G11,"Abrir chat"),"")</f>
        <v/>
      </c>
      <c r="J11" s="2"/>
      <c r="K11" s="6" t="s">
        <v>25</v>
      </c>
      <c r="L11" s="7"/>
      <c r="M11" s="8" t="str">
        <f aca="false">IF(L11="","",L11+4)</f>
        <v/>
      </c>
      <c r="N11" s="6"/>
      <c r="O11" s="9" t="str">
        <f aca="false">IF(N11="","",INDEX(Planes!$B$4:$B$6,MATCH(N11,Planes!$A$4:$A$6,0)))</f>
        <v/>
      </c>
      <c r="P11" s="6" t="s">
        <v>33</v>
      </c>
      <c r="Q11" s="6"/>
      <c r="R11" s="2" t="s">
        <v>62</v>
      </c>
      <c r="S11" s="5" t="str">
        <f aca="false">HYPERLINK("https://alabama.soy/almuerzo-casero-medellin/","Ver fuente")</f>
        <v>Ver fuente</v>
      </c>
    </row>
    <row r="12" customFormat="false" ht="15" hidden="false" customHeight="false" outlineLevel="0" collapsed="false">
      <c r="A12" s="2" t="n">
        <v>11</v>
      </c>
      <c r="B12" s="3" t="s">
        <v>19</v>
      </c>
      <c r="C12" s="2" t="s">
        <v>63</v>
      </c>
      <c r="D12" s="2" t="s">
        <v>59</v>
      </c>
      <c r="E12" s="2" t="s">
        <v>64</v>
      </c>
      <c r="F12" s="2" t="s">
        <v>65</v>
      </c>
      <c r="G12" s="4" t="s">
        <v>66</v>
      </c>
      <c r="H12" s="2" t="str">
        <f aca="false">IF(G12="","Sin número",IF(LEFT(G12,1)="3","Celular","Fijo"))</f>
        <v>Celular</v>
      </c>
      <c r="I12" s="5" t="str">
        <f aca="false">IF(H12="Celular",HYPERLINK("https://wa.me/57"&amp;G12,"Abrir chat"),"")</f>
        <v>Abrir chat</v>
      </c>
      <c r="J12" s="2" t="s">
        <v>67</v>
      </c>
      <c r="K12" s="6" t="s">
        <v>25</v>
      </c>
      <c r="L12" s="7"/>
      <c r="M12" s="8" t="str">
        <f aca="false">IF(L12="","",L12+4)</f>
        <v/>
      </c>
      <c r="N12" s="6"/>
      <c r="O12" s="9" t="str">
        <f aca="false">IF(N12="","",INDEX(Planes!$B$4:$B$6,MATCH(N12,Planes!$A$4:$A$6,0)))</f>
        <v/>
      </c>
      <c r="P12" s="6" t="s">
        <v>26</v>
      </c>
      <c r="Q12" s="6"/>
      <c r="R12" s="2" t="s">
        <v>27</v>
      </c>
      <c r="S12" s="5" t="str">
        <f aca="false">HYPERLINK("https://arepapas.ola.click/","Ver fuente")</f>
        <v>Ver fuente</v>
      </c>
    </row>
    <row r="13" customFormat="false" ht="15" hidden="false" customHeight="false" outlineLevel="0" collapsed="false">
      <c r="A13" s="2" t="n">
        <v>12</v>
      </c>
      <c r="B13" s="3" t="s">
        <v>19</v>
      </c>
      <c r="C13" s="2" t="s">
        <v>68</v>
      </c>
      <c r="D13" s="2" t="s">
        <v>59</v>
      </c>
      <c r="E13" s="2" t="s">
        <v>69</v>
      </c>
      <c r="F13" s="2" t="s">
        <v>70</v>
      </c>
      <c r="G13" s="4" t="s">
        <v>71</v>
      </c>
      <c r="H13" s="2" t="str">
        <f aca="false">IF(G13="","Sin número",IF(LEFT(G13,1)="3","Celular","Fijo"))</f>
        <v>Celular</v>
      </c>
      <c r="I13" s="5" t="str">
        <f aca="false">IF(H13="Celular",HYPERLINK("https://wa.me/57"&amp;G13,"Abrir chat"),"")</f>
        <v>Abrir chat</v>
      </c>
      <c r="J13" s="2" t="s">
        <v>72</v>
      </c>
      <c r="K13" s="6" t="s">
        <v>25</v>
      </c>
      <c r="L13" s="7"/>
      <c r="M13" s="8" t="str">
        <f aca="false">IF(L13="","",L13+4)</f>
        <v/>
      </c>
      <c r="N13" s="6"/>
      <c r="O13" s="9" t="str">
        <f aca="false">IF(N13="","",INDEX(Planes!$B$4:$B$6,MATCH(N13,Planes!$A$4:$A$6,0)))</f>
        <v/>
      </c>
      <c r="P13" s="6" t="s">
        <v>26</v>
      </c>
      <c r="Q13" s="6"/>
      <c r="R13" s="2" t="s">
        <v>27</v>
      </c>
      <c r="S13" s="5" t="str">
        <f aca="false">HYPERLINK("https://benditas-papas.ola.click/","Ver fuente")</f>
        <v>Ver fuente</v>
      </c>
    </row>
    <row r="14" customFormat="false" ht="15" hidden="false" customHeight="false" outlineLevel="0" collapsed="false">
      <c r="A14" s="2" t="n">
        <v>13</v>
      </c>
      <c r="B14" s="3" t="s">
        <v>19</v>
      </c>
      <c r="C14" s="2" t="s">
        <v>73</v>
      </c>
      <c r="D14" s="2" t="s">
        <v>59</v>
      </c>
      <c r="E14" s="2" t="s">
        <v>69</v>
      </c>
      <c r="F14" s="2" t="s">
        <v>74</v>
      </c>
      <c r="G14" s="4" t="s">
        <v>75</v>
      </c>
      <c r="H14" s="2" t="str">
        <f aca="false">IF(G14="","Sin número",IF(LEFT(G14,1)="3","Celular","Fijo"))</f>
        <v>Celular</v>
      </c>
      <c r="I14" s="5" t="str">
        <f aca="false">IF(H14="Celular",HYPERLINK("https://wa.me/57"&amp;G14,"Abrir chat"),"")</f>
        <v>Abrir chat</v>
      </c>
      <c r="J14" s="2" t="s">
        <v>76</v>
      </c>
      <c r="K14" s="6" t="s">
        <v>25</v>
      </c>
      <c r="L14" s="7"/>
      <c r="M14" s="8" t="str">
        <f aca="false">IF(L14="","",L14+4)</f>
        <v/>
      </c>
      <c r="N14" s="6"/>
      <c r="O14" s="9" t="str">
        <f aca="false">IF(N14="","",INDEX(Planes!$B$4:$B$6,MATCH(N14,Planes!$A$4:$A$6,0)))</f>
        <v/>
      </c>
      <c r="P14" s="6" t="s">
        <v>26</v>
      </c>
      <c r="Q14" s="6"/>
      <c r="R14" s="2" t="s">
        <v>27</v>
      </c>
      <c r="S14" s="5" t="str">
        <f aca="false">HYPERLINK("https://brosty-combo-la-y.ola.click/","Ver fuente")</f>
        <v>Ver fuente</v>
      </c>
    </row>
    <row r="15" customFormat="false" ht="15" hidden="false" customHeight="false" outlineLevel="0" collapsed="false">
      <c r="A15" s="2" t="n">
        <v>14</v>
      </c>
      <c r="B15" s="3" t="s">
        <v>19</v>
      </c>
      <c r="C15" s="2" t="s">
        <v>77</v>
      </c>
      <c r="D15" s="2" t="s">
        <v>59</v>
      </c>
      <c r="E15" s="2" t="s">
        <v>78</v>
      </c>
      <c r="F15" s="2" t="s">
        <v>79</v>
      </c>
      <c r="G15" s="4" t="s">
        <v>80</v>
      </c>
      <c r="H15" s="2" t="str">
        <f aca="false">IF(G15="","Sin número",IF(LEFT(G15,1)="3","Celular","Fijo"))</f>
        <v>Celular</v>
      </c>
      <c r="I15" s="5" t="str">
        <f aca="false">IF(H15="Celular",HYPERLINK("https://wa.me/57"&amp;G15,"Abrir chat"),"")</f>
        <v>Abrir chat</v>
      </c>
      <c r="J15" s="2"/>
      <c r="K15" s="6" t="s">
        <v>25</v>
      </c>
      <c r="L15" s="7"/>
      <c r="M15" s="8" t="str">
        <f aca="false">IF(L15="","",L15+4)</f>
        <v/>
      </c>
      <c r="N15" s="6"/>
      <c r="O15" s="9" t="str">
        <f aca="false">IF(N15="","",INDEX(Planes!$B$4:$B$6,MATCH(N15,Planes!$A$4:$A$6,0)))</f>
        <v/>
      </c>
      <c r="P15" s="6" t="s">
        <v>26</v>
      </c>
      <c r="Q15" s="6"/>
      <c r="R15" s="2" t="s">
        <v>81</v>
      </c>
      <c r="S15" s="5" t="str">
        <f aca="false">HYPERLINK("https://medellinguru.com/?p=24707","Ver fuente")</f>
        <v>Ver fuente</v>
      </c>
    </row>
    <row r="16" customFormat="false" ht="15" hidden="false" customHeight="false" outlineLevel="0" collapsed="false">
      <c r="A16" s="2" t="n">
        <v>15</v>
      </c>
      <c r="B16" s="3" t="s">
        <v>19</v>
      </c>
      <c r="C16" s="2" t="s">
        <v>82</v>
      </c>
      <c r="D16" s="2" t="s">
        <v>59</v>
      </c>
      <c r="E16" s="2" t="s">
        <v>83</v>
      </c>
      <c r="F16" s="2" t="s">
        <v>84</v>
      </c>
      <c r="G16" s="4" t="s">
        <v>85</v>
      </c>
      <c r="H16" s="2" t="str">
        <f aca="false">IF(G16="","Sin número",IF(LEFT(G16,1)="3","Celular","Fijo"))</f>
        <v>Celular</v>
      </c>
      <c r="I16" s="5" t="str">
        <f aca="false">IF(H16="Celular",HYPERLINK("https://wa.me/57"&amp;G16,"Abrir chat"),"")</f>
        <v>Abrir chat</v>
      </c>
      <c r="J16" s="2" t="s">
        <v>86</v>
      </c>
      <c r="K16" s="6" t="s">
        <v>25</v>
      </c>
      <c r="L16" s="7"/>
      <c r="M16" s="8" t="str">
        <f aca="false">IF(L16="","",L16+4)</f>
        <v/>
      </c>
      <c r="N16" s="6"/>
      <c r="O16" s="9" t="str">
        <f aca="false">IF(N16="","",INDEX(Planes!$B$4:$B$6,MATCH(N16,Planes!$A$4:$A$6,0)))</f>
        <v/>
      </c>
      <c r="P16" s="6" t="s">
        <v>26</v>
      </c>
      <c r="Q16" s="6"/>
      <c r="R16" s="2" t="s">
        <v>27</v>
      </c>
      <c r="S16" s="5" t="str">
        <f aca="false">HYPERLINK("https://casa-del-arroz.ola.click/","Ver fuente")</f>
        <v>Ver fuente</v>
      </c>
    </row>
    <row r="17" customFormat="false" ht="15" hidden="false" customHeight="false" outlineLevel="0" collapsed="false">
      <c r="A17" s="2" t="n">
        <v>16</v>
      </c>
      <c r="B17" s="3" t="s">
        <v>19</v>
      </c>
      <c r="C17" s="2" t="s">
        <v>87</v>
      </c>
      <c r="D17" s="2" t="s">
        <v>59</v>
      </c>
      <c r="E17" s="2" t="s">
        <v>83</v>
      </c>
      <c r="F17" s="2" t="s">
        <v>70</v>
      </c>
      <c r="G17" s="4" t="s">
        <v>88</v>
      </c>
      <c r="H17" s="2" t="str">
        <f aca="false">IF(G17="","Sin número",IF(LEFT(G17,1)="3","Celular","Fijo"))</f>
        <v>Celular</v>
      </c>
      <c r="I17" s="5" t="str">
        <f aca="false">IF(H17="Celular",HYPERLINK("https://wa.me/57"&amp;G17,"Abrir chat"),"")</f>
        <v>Abrir chat</v>
      </c>
      <c r="J17" s="2" t="s">
        <v>89</v>
      </c>
      <c r="K17" s="6" t="s">
        <v>25</v>
      </c>
      <c r="L17" s="7"/>
      <c r="M17" s="8" t="str">
        <f aca="false">IF(L17="","",L17+4)</f>
        <v/>
      </c>
      <c r="N17" s="6"/>
      <c r="O17" s="9" t="str">
        <f aca="false">IF(N17="","",INDEX(Planes!$B$4:$B$6,MATCH(N17,Planes!$A$4:$A$6,0)))</f>
        <v/>
      </c>
      <c r="P17" s="6" t="s">
        <v>26</v>
      </c>
      <c r="Q17" s="6"/>
      <c r="R17" s="2" t="s">
        <v>27</v>
      </c>
      <c r="S17" s="5" t="str">
        <f aca="false">HYPERLINK("https://comidas-rapidas-juan.ola.click/","Ver fuente")</f>
        <v>Ver fuente</v>
      </c>
    </row>
    <row r="18" customFormat="false" ht="15" hidden="false" customHeight="false" outlineLevel="0" collapsed="false">
      <c r="A18" s="2" t="n">
        <v>17</v>
      </c>
      <c r="B18" s="3" t="s">
        <v>19</v>
      </c>
      <c r="C18" s="2" t="s">
        <v>90</v>
      </c>
      <c r="D18" s="2" t="s">
        <v>59</v>
      </c>
      <c r="E18" s="2" t="s">
        <v>91</v>
      </c>
      <c r="F18" s="2" t="s">
        <v>70</v>
      </c>
      <c r="G18" s="4" t="s">
        <v>92</v>
      </c>
      <c r="H18" s="2" t="str">
        <f aca="false">IF(G18="","Sin número",IF(LEFT(G18,1)="3","Celular","Fijo"))</f>
        <v>Celular</v>
      </c>
      <c r="I18" s="5" t="str">
        <f aca="false">IF(H18="Celular",HYPERLINK("https://wa.me/57"&amp;G18,"Abrir chat"),"")</f>
        <v>Abrir chat</v>
      </c>
      <c r="J18" s="2" t="s">
        <v>93</v>
      </c>
      <c r="K18" s="6" t="s">
        <v>25</v>
      </c>
      <c r="L18" s="7"/>
      <c r="M18" s="8" t="str">
        <f aca="false">IF(L18="","",L18+4)</f>
        <v/>
      </c>
      <c r="N18" s="6"/>
      <c r="O18" s="9" t="str">
        <f aca="false">IF(N18="","",INDEX(Planes!$B$4:$B$6,MATCH(N18,Planes!$A$4:$A$6,0)))</f>
        <v/>
      </c>
      <c r="P18" s="6" t="s">
        <v>26</v>
      </c>
      <c r="Q18" s="6"/>
      <c r="R18" s="2" t="s">
        <v>27</v>
      </c>
      <c r="S18" s="5" t="str">
        <f aca="false">HYPERLINK("https://comidasrapidas-dtia.ola.click/","Ver fuente")</f>
        <v>Ver fuente</v>
      </c>
    </row>
    <row r="19" customFormat="false" ht="15" hidden="false" customHeight="false" outlineLevel="0" collapsed="false">
      <c r="A19" s="2" t="n">
        <v>18</v>
      </c>
      <c r="B19" s="3" t="s">
        <v>19</v>
      </c>
      <c r="C19" s="2" t="s">
        <v>94</v>
      </c>
      <c r="D19" s="2" t="s">
        <v>59</v>
      </c>
      <c r="E19" s="2" t="s">
        <v>64</v>
      </c>
      <c r="F19" s="2" t="s">
        <v>79</v>
      </c>
      <c r="G19" s="4" t="s">
        <v>95</v>
      </c>
      <c r="H19" s="2" t="str">
        <f aca="false">IF(G19="","Sin número",IF(LEFT(G19,1)="3","Celular","Fijo"))</f>
        <v>Celular</v>
      </c>
      <c r="I19" s="5" t="str">
        <f aca="false">IF(H19="Celular",HYPERLINK("https://wa.me/57"&amp;G19,"Abrir chat"),"")</f>
        <v>Abrir chat</v>
      </c>
      <c r="J19" s="2"/>
      <c r="K19" s="6" t="s">
        <v>25</v>
      </c>
      <c r="L19" s="7"/>
      <c r="M19" s="8" t="str">
        <f aca="false">IF(L19="","",L19+4)</f>
        <v/>
      </c>
      <c r="N19" s="6"/>
      <c r="O19" s="9" t="str">
        <f aca="false">IF(N19="","",INDEX(Planes!$B$4:$B$6,MATCH(N19,Planes!$A$4:$A$6,0)))</f>
        <v/>
      </c>
      <c r="P19" s="6" t="s">
        <v>26</v>
      </c>
      <c r="Q19" s="6"/>
      <c r="R19" s="2" t="s">
        <v>96</v>
      </c>
      <c r="S19" s="5" t="str">
        <f aca="false">HYPERLINK("https://medellinguru.com/?p=24707","Ver fuente")</f>
        <v>Ver fuente</v>
      </c>
    </row>
    <row r="20" customFormat="false" ht="15" hidden="false" customHeight="false" outlineLevel="0" collapsed="false">
      <c r="A20" s="2" t="n">
        <v>19</v>
      </c>
      <c r="B20" s="3" t="s">
        <v>19</v>
      </c>
      <c r="C20" s="2" t="s">
        <v>97</v>
      </c>
      <c r="D20" s="2" t="s">
        <v>59</v>
      </c>
      <c r="E20" s="2" t="s">
        <v>91</v>
      </c>
      <c r="F20" s="2" t="s">
        <v>98</v>
      </c>
      <c r="G20" s="4" t="s">
        <v>99</v>
      </c>
      <c r="H20" s="2" t="str">
        <f aca="false">IF(G20="","Sin número",IF(LEFT(G20,1)="3","Celular","Fijo"))</f>
        <v>Celular</v>
      </c>
      <c r="I20" s="5" t="str">
        <f aca="false">IF(H20="Celular",HYPERLINK("https://wa.me/57"&amp;G20,"Abrir chat"),"")</f>
        <v>Abrir chat</v>
      </c>
      <c r="J20" s="2" t="s">
        <v>100</v>
      </c>
      <c r="K20" s="6" t="s">
        <v>25</v>
      </c>
      <c r="L20" s="7"/>
      <c r="M20" s="8" t="str">
        <f aca="false">IF(L20="","",L20+4)</f>
        <v/>
      </c>
      <c r="N20" s="6"/>
      <c r="O20" s="9" t="str">
        <f aca="false">IF(N20="","",INDEX(Planes!$B$4:$B$6,MATCH(N20,Planes!$A$4:$A$6,0)))</f>
        <v/>
      </c>
      <c r="P20" s="6" t="s">
        <v>26</v>
      </c>
      <c r="Q20" s="6"/>
      <c r="R20" s="2" t="s">
        <v>27</v>
      </c>
      <c r="S20" s="5" t="str">
        <f aca="false">HYPERLINK("https://cr-delicias-del-barrio.ola.click/","Ver fuente")</f>
        <v>Ver fuente</v>
      </c>
    </row>
    <row r="21" customFormat="false" ht="15" hidden="false" customHeight="false" outlineLevel="0" collapsed="false">
      <c r="A21" s="2" t="n">
        <v>20</v>
      </c>
      <c r="B21" s="3" t="s">
        <v>19</v>
      </c>
      <c r="C21" s="2" t="s">
        <v>101</v>
      </c>
      <c r="D21" s="2" t="s">
        <v>59</v>
      </c>
      <c r="E21" s="2"/>
      <c r="F21" s="2" t="s">
        <v>70</v>
      </c>
      <c r="G21" s="4" t="s">
        <v>102</v>
      </c>
      <c r="H21" s="2" t="str">
        <f aca="false">IF(G21="","Sin número",IF(LEFT(G21,1)="3","Celular","Fijo"))</f>
        <v>Celular</v>
      </c>
      <c r="I21" s="5" t="str">
        <f aca="false">IF(H21="Celular",HYPERLINK("https://wa.me/57"&amp;G21,"Abrir chat"),"")</f>
        <v>Abrir chat</v>
      </c>
      <c r="J21" s="2" t="s">
        <v>103</v>
      </c>
      <c r="K21" s="6" t="s">
        <v>25</v>
      </c>
      <c r="L21" s="7"/>
      <c r="M21" s="8" t="str">
        <f aca="false">IF(L21="","",L21+4)</f>
        <v/>
      </c>
      <c r="N21" s="6"/>
      <c r="O21" s="9" t="str">
        <f aca="false">IF(N21="","",INDEX(Planes!$B$4:$B$6,MATCH(N21,Planes!$A$4:$A$6,0)))</f>
        <v/>
      </c>
      <c r="P21" s="6" t="s">
        <v>26</v>
      </c>
      <c r="Q21" s="6"/>
      <c r="R21" s="2" t="s">
        <v>27</v>
      </c>
      <c r="S21" s="5" t="str">
        <f aca="false">HYPERLINK("https://criollashouse.ola.click/","Ver fuente")</f>
        <v>Ver fuente</v>
      </c>
    </row>
    <row r="22" customFormat="false" ht="15" hidden="false" customHeight="false" outlineLevel="0" collapsed="false">
      <c r="A22" s="2" t="n">
        <v>21</v>
      </c>
      <c r="B22" s="3" t="s">
        <v>19</v>
      </c>
      <c r="C22" s="2" t="s">
        <v>104</v>
      </c>
      <c r="D22" s="2" t="s">
        <v>59</v>
      </c>
      <c r="E22" s="2"/>
      <c r="F22" s="2" t="s">
        <v>70</v>
      </c>
      <c r="G22" s="4" t="s">
        <v>105</v>
      </c>
      <c r="H22" s="2" t="str">
        <f aca="false">IF(G22="","Sin número",IF(LEFT(G22,1)="3","Celular","Fijo"))</f>
        <v>Celular</v>
      </c>
      <c r="I22" s="5" t="str">
        <f aca="false">IF(H22="Celular",HYPERLINK("https://wa.me/57"&amp;G22,"Abrir chat"),"")</f>
        <v>Abrir chat</v>
      </c>
      <c r="J22" s="2" t="s">
        <v>106</v>
      </c>
      <c r="K22" s="6" t="s">
        <v>25</v>
      </c>
      <c r="L22" s="7"/>
      <c r="M22" s="8" t="str">
        <f aca="false">IF(L22="","",L22+4)</f>
        <v/>
      </c>
      <c r="N22" s="6"/>
      <c r="O22" s="9" t="str">
        <f aca="false">IF(N22="","",INDEX(Planes!$B$4:$B$6,MATCH(N22,Planes!$A$4:$A$6,0)))</f>
        <v/>
      </c>
      <c r="P22" s="6" t="s">
        <v>26</v>
      </c>
      <c r="Q22" s="6"/>
      <c r="R22" s="2" t="s">
        <v>27</v>
      </c>
      <c r="S22" s="5" t="str">
        <f aca="false">HYPERLINK("https://deliperrosyparrilla.ola.click/","Ver fuente")</f>
        <v>Ver fuente</v>
      </c>
    </row>
    <row r="23" customFormat="false" ht="15" hidden="false" customHeight="false" outlineLevel="0" collapsed="false">
      <c r="A23" s="2" t="n">
        <v>22</v>
      </c>
      <c r="B23" s="3" t="s">
        <v>19</v>
      </c>
      <c r="C23" s="2" t="s">
        <v>107</v>
      </c>
      <c r="D23" s="2" t="s">
        <v>59</v>
      </c>
      <c r="E23" s="2" t="s">
        <v>78</v>
      </c>
      <c r="F23" s="2" t="s">
        <v>79</v>
      </c>
      <c r="G23" s="4" t="s">
        <v>108</v>
      </c>
      <c r="H23" s="2" t="str">
        <f aca="false">IF(G23="","Sin número",IF(LEFT(G23,1)="3","Celular","Fijo"))</f>
        <v>Celular</v>
      </c>
      <c r="I23" s="5" t="str">
        <f aca="false">IF(H23="Celular",HYPERLINK("https://wa.me/57"&amp;G23,"Abrir chat"),"")</f>
        <v>Abrir chat</v>
      </c>
      <c r="J23" s="2"/>
      <c r="K23" s="6" t="s">
        <v>25</v>
      </c>
      <c r="L23" s="7"/>
      <c r="M23" s="8" t="str">
        <f aca="false">IF(L23="","",L23+4)</f>
        <v/>
      </c>
      <c r="N23" s="6"/>
      <c r="O23" s="9" t="str">
        <f aca="false">IF(N23="","",INDEX(Planes!$B$4:$B$6,MATCH(N23,Planes!$A$4:$A$6,0)))</f>
        <v/>
      </c>
      <c r="P23" s="6" t="s">
        <v>26</v>
      </c>
      <c r="Q23" s="6" t="s">
        <v>109</v>
      </c>
      <c r="R23" s="2" t="s">
        <v>96</v>
      </c>
      <c r="S23" s="5" t="str">
        <f aca="false">HYPERLINK("https://medellinguru.com/?p=24612","Ver fuente")</f>
        <v>Ver fuente</v>
      </c>
    </row>
    <row r="24" customFormat="false" ht="15" hidden="false" customHeight="false" outlineLevel="0" collapsed="false">
      <c r="A24" s="2" t="n">
        <v>23</v>
      </c>
      <c r="B24" s="3" t="s">
        <v>19</v>
      </c>
      <c r="C24" s="2" t="s">
        <v>110</v>
      </c>
      <c r="D24" s="2" t="s">
        <v>59</v>
      </c>
      <c r="E24" s="2" t="s">
        <v>64</v>
      </c>
      <c r="F24" s="2" t="s">
        <v>111</v>
      </c>
      <c r="G24" s="4" t="s">
        <v>95</v>
      </c>
      <c r="H24" s="2" t="str">
        <f aca="false">IF(G24="","Sin número",IF(LEFT(G24,1)="3","Celular","Fijo"))</f>
        <v>Celular</v>
      </c>
      <c r="I24" s="5" t="str">
        <f aca="false">IF(H24="Celular",HYPERLINK("https://wa.me/57"&amp;G24,"Abrir chat"),"")</f>
        <v>Abrir chat</v>
      </c>
      <c r="J24" s="2"/>
      <c r="K24" s="6" t="s">
        <v>25</v>
      </c>
      <c r="L24" s="7"/>
      <c r="M24" s="8" t="str">
        <f aca="false">IF(L24="","",L24+4)</f>
        <v/>
      </c>
      <c r="N24" s="6"/>
      <c r="O24" s="9" t="str">
        <f aca="false">IF(N24="","",INDEX(Planes!$B$4:$B$6,MATCH(N24,Planes!$A$4:$A$6,0)))</f>
        <v/>
      </c>
      <c r="P24" s="6" t="s">
        <v>26</v>
      </c>
      <c r="Q24" s="6"/>
      <c r="R24" s="2" t="s">
        <v>112</v>
      </c>
      <c r="S24" s="5" t="str">
        <f aca="false">HYPERLINK("https://medellinguru.com/laureles-with-domicilio/","Ver fuente")</f>
        <v>Ver fuente</v>
      </c>
    </row>
    <row r="25" customFormat="false" ht="15" hidden="false" customHeight="false" outlineLevel="0" collapsed="false">
      <c r="A25" s="2" t="n">
        <v>24</v>
      </c>
      <c r="B25" s="3" t="s">
        <v>19</v>
      </c>
      <c r="C25" s="2" t="s">
        <v>113</v>
      </c>
      <c r="D25" s="2" t="s">
        <v>59</v>
      </c>
      <c r="E25" s="2" t="s">
        <v>64</v>
      </c>
      <c r="F25" s="2" t="s">
        <v>114</v>
      </c>
      <c r="G25" s="4"/>
      <c r="H25" s="2" t="str">
        <f aca="false">IF(G25="","Sin número",IF(LEFT(G25,1)="3","Celular","Fijo"))</f>
        <v>Sin número</v>
      </c>
      <c r="I25" s="5" t="str">
        <f aca="false">IF(H25="Celular",HYPERLINK("https://wa.me/57"&amp;G25,"Abrir chat"),"")</f>
        <v/>
      </c>
      <c r="J25" s="2" t="s">
        <v>115</v>
      </c>
      <c r="K25" s="6" t="s">
        <v>25</v>
      </c>
      <c r="L25" s="7"/>
      <c r="M25" s="8" t="str">
        <f aca="false">IF(L25="","",L25+4)</f>
        <v/>
      </c>
      <c r="N25" s="6"/>
      <c r="O25" s="9" t="str">
        <f aca="false">IF(N25="","",INDEX(Planes!$B$4:$B$6,MATCH(N25,Planes!$A$4:$A$6,0)))</f>
        <v/>
      </c>
      <c r="P25" s="6" t="s">
        <v>33</v>
      </c>
      <c r="Q25" s="6"/>
      <c r="R25" s="2" t="s">
        <v>27</v>
      </c>
      <c r="S25" s="5" t="str">
        <f aca="false">HYPERLINK("https://elputotaco2.ola.click/products","Ver fuente")</f>
        <v>Ver fuente</v>
      </c>
    </row>
    <row r="26" customFormat="false" ht="15" hidden="false" customHeight="false" outlineLevel="0" collapsed="false">
      <c r="A26" s="2" t="n">
        <v>25</v>
      </c>
      <c r="B26" s="3" t="s">
        <v>19</v>
      </c>
      <c r="C26" s="2" t="s">
        <v>116</v>
      </c>
      <c r="D26" s="2" t="s">
        <v>59</v>
      </c>
      <c r="E26" s="2" t="s">
        <v>117</v>
      </c>
      <c r="F26" s="2" t="s">
        <v>118</v>
      </c>
      <c r="G26" s="4" t="s">
        <v>119</v>
      </c>
      <c r="H26" s="2" t="str">
        <f aca="false">IF(G26="","Sin número",IF(LEFT(G26,1)="3","Celular","Fijo"))</f>
        <v>Celular</v>
      </c>
      <c r="I26" s="5" t="str">
        <f aca="false">IF(H26="Celular",HYPERLINK("https://wa.me/57"&amp;G26,"Abrir chat"),"")</f>
        <v>Abrir chat</v>
      </c>
      <c r="J26" s="2" t="s">
        <v>120</v>
      </c>
      <c r="K26" s="6" t="s">
        <v>25</v>
      </c>
      <c r="L26" s="7"/>
      <c r="M26" s="8" t="str">
        <f aca="false">IF(L26="","",L26+4)</f>
        <v/>
      </c>
      <c r="N26" s="6"/>
      <c r="O26" s="9" t="str">
        <f aca="false">IF(N26="","",INDEX(Planes!$B$4:$B$6,MATCH(N26,Planes!$A$4:$A$6,0)))</f>
        <v/>
      </c>
      <c r="P26" s="6" t="s">
        <v>26</v>
      </c>
      <c r="Q26" s="6"/>
      <c r="R26" s="2" t="s">
        <v>27</v>
      </c>
      <c r="S26" s="5" t="str">
        <f aca="false">HYPERLINK("https://escuderosbbq.ola.click/","Ver fuente")</f>
        <v>Ver fuente</v>
      </c>
    </row>
    <row r="27" customFormat="false" ht="15" hidden="false" customHeight="false" outlineLevel="0" collapsed="false">
      <c r="A27" s="2" t="n">
        <v>26</v>
      </c>
      <c r="B27" s="3" t="s">
        <v>19</v>
      </c>
      <c r="C27" s="2" t="s">
        <v>121</v>
      </c>
      <c r="D27" s="2" t="s">
        <v>59</v>
      </c>
      <c r="E27" s="2" t="s">
        <v>60</v>
      </c>
      <c r="F27" s="2" t="s">
        <v>70</v>
      </c>
      <c r="G27" s="4"/>
      <c r="H27" s="2" t="str">
        <f aca="false">IF(G27="","Sin número",IF(LEFT(G27,1)="3","Celular","Fijo"))</f>
        <v>Sin número</v>
      </c>
      <c r="I27" s="5" t="str">
        <f aca="false">IF(H27="Celular",HYPERLINK("https://wa.me/57"&amp;G27,"Abrir chat"),"")</f>
        <v/>
      </c>
      <c r="J27" s="2" t="s">
        <v>122</v>
      </c>
      <c r="K27" s="6" t="s">
        <v>25</v>
      </c>
      <c r="L27" s="7"/>
      <c r="M27" s="8" t="str">
        <f aca="false">IF(L27="","",L27+4)</f>
        <v/>
      </c>
      <c r="N27" s="6"/>
      <c r="O27" s="9" t="str">
        <f aca="false">IF(N27="","",INDEX(Planes!$B$4:$B$6,MATCH(N27,Planes!$A$4:$A$6,0)))</f>
        <v/>
      </c>
      <c r="P27" s="6" t="s">
        <v>33</v>
      </c>
      <c r="Q27" s="6"/>
      <c r="R27" s="2" t="s">
        <v>27</v>
      </c>
      <c r="S27" s="5" t="str">
        <f aca="false">HYPERLINK("https://freedogcolombia.ola.click/","Ver fuente")</f>
        <v>Ver fuente</v>
      </c>
    </row>
    <row r="28" customFormat="false" ht="15" hidden="false" customHeight="false" outlineLevel="0" collapsed="false">
      <c r="A28" s="2" t="n">
        <v>27</v>
      </c>
      <c r="B28" s="3" t="s">
        <v>19</v>
      </c>
      <c r="C28" s="2" t="s">
        <v>123</v>
      </c>
      <c r="D28" s="2" t="s">
        <v>59</v>
      </c>
      <c r="E28" s="2" t="s">
        <v>60</v>
      </c>
      <c r="F28" s="2" t="s">
        <v>124</v>
      </c>
      <c r="G28" s="4" t="s">
        <v>125</v>
      </c>
      <c r="H28" s="2" t="str">
        <f aca="false">IF(G28="","Sin número",IF(LEFT(G28,1)="3","Celular","Fijo"))</f>
        <v>Celular</v>
      </c>
      <c r="I28" s="5" t="str">
        <f aca="false">IF(H28="Celular",HYPERLINK("https://wa.me/57"&amp;G28,"Abrir chat"),"")</f>
        <v>Abrir chat</v>
      </c>
      <c r="J28" s="2" t="s">
        <v>126</v>
      </c>
      <c r="K28" s="6" t="s">
        <v>25</v>
      </c>
      <c r="L28" s="7"/>
      <c r="M28" s="8" t="str">
        <f aca="false">IF(L28="","",L28+4)</f>
        <v/>
      </c>
      <c r="N28" s="6"/>
      <c r="O28" s="9" t="str">
        <f aca="false">IF(N28="","",INDEX(Planes!$B$4:$B$6,MATCH(N28,Planes!$A$4:$A$6,0)))</f>
        <v/>
      </c>
      <c r="P28" s="6" t="s">
        <v>26</v>
      </c>
      <c r="Q28" s="6"/>
      <c r="R28" s="2" t="s">
        <v>96</v>
      </c>
      <c r="S28" s="5" t="str">
        <f aca="false">HYPERLINK("https://medellinguru.com/kuelap/","Ver fuente")</f>
        <v>Ver fuente</v>
      </c>
    </row>
    <row r="29" customFormat="false" ht="15" hidden="false" customHeight="false" outlineLevel="0" collapsed="false">
      <c r="A29" s="2" t="n">
        <v>28</v>
      </c>
      <c r="B29" s="3" t="s">
        <v>19</v>
      </c>
      <c r="C29" s="2" t="s">
        <v>127</v>
      </c>
      <c r="D29" s="2" t="s">
        <v>59</v>
      </c>
      <c r="E29" s="2" t="s">
        <v>83</v>
      </c>
      <c r="F29" s="2" t="s">
        <v>114</v>
      </c>
      <c r="G29" s="4" t="s">
        <v>128</v>
      </c>
      <c r="H29" s="2" t="str">
        <f aca="false">IF(G29="","Sin número",IF(LEFT(G29,1)="3","Celular","Fijo"))</f>
        <v>Celular</v>
      </c>
      <c r="I29" s="5" t="str">
        <f aca="false">IF(H29="Celular",HYPERLINK("https://wa.me/57"&amp;G29,"Abrir chat"),"")</f>
        <v>Abrir chat</v>
      </c>
      <c r="J29" s="2" t="s">
        <v>129</v>
      </c>
      <c r="K29" s="6" t="s">
        <v>25</v>
      </c>
      <c r="L29" s="7"/>
      <c r="M29" s="8" t="str">
        <f aca="false">IF(L29="","",L29+4)</f>
        <v/>
      </c>
      <c r="N29" s="6"/>
      <c r="O29" s="9" t="str">
        <f aca="false">IF(N29="","",INDEX(Planes!$B$4:$B$6,MATCH(N29,Planes!$A$4:$A$6,0)))</f>
        <v/>
      </c>
      <c r="P29" s="6" t="s">
        <v>26</v>
      </c>
      <c r="Q29" s="6"/>
      <c r="R29" s="2" t="s">
        <v>27</v>
      </c>
      <c r="S29" s="5" t="str">
        <f aca="false">HYPERLINK("https://lachimichanga.ola.click/","Ver fuente")</f>
        <v>Ver fuente</v>
      </c>
    </row>
    <row r="30" customFormat="false" ht="15" hidden="false" customHeight="false" outlineLevel="0" collapsed="false">
      <c r="A30" s="2" t="n">
        <v>29</v>
      </c>
      <c r="B30" s="3" t="s">
        <v>19</v>
      </c>
      <c r="C30" s="2" t="s">
        <v>130</v>
      </c>
      <c r="D30" s="2" t="s">
        <v>59</v>
      </c>
      <c r="E30" s="2" t="s">
        <v>64</v>
      </c>
      <c r="F30" s="2" t="s">
        <v>70</v>
      </c>
      <c r="G30" s="4" t="s">
        <v>131</v>
      </c>
      <c r="H30" s="2" t="str">
        <f aca="false">IF(G30="","Sin número",IF(LEFT(G30,1)="3","Celular","Fijo"))</f>
        <v>Celular</v>
      </c>
      <c r="I30" s="5" t="str">
        <f aca="false">IF(H30="Celular",HYPERLINK("https://wa.me/57"&amp;G30,"Abrir chat"),"")</f>
        <v>Abrir chat</v>
      </c>
      <c r="J30" s="2" t="s">
        <v>132</v>
      </c>
      <c r="K30" s="6" t="s">
        <v>25</v>
      </c>
      <c r="L30" s="7"/>
      <c r="M30" s="8" t="str">
        <f aca="false">IF(L30="","",L30+4)</f>
        <v/>
      </c>
      <c r="N30" s="6"/>
      <c r="O30" s="9" t="str">
        <f aca="false">IF(N30="","",INDEX(Planes!$B$4:$B$6,MATCH(N30,Planes!$A$4:$A$6,0)))</f>
        <v/>
      </c>
      <c r="P30" s="6" t="s">
        <v>26</v>
      </c>
      <c r="Q30" s="6"/>
      <c r="R30" s="2" t="s">
        <v>27</v>
      </c>
      <c r="S30" s="5" t="str">
        <f aca="false">HYPERLINK("https://la-choriceria.ola.click/","Ver fuente")</f>
        <v>Ver fuente</v>
      </c>
    </row>
    <row r="31" customFormat="false" ht="15" hidden="false" customHeight="false" outlineLevel="0" collapsed="false">
      <c r="A31" s="2" t="n">
        <v>30</v>
      </c>
      <c r="B31" s="3" t="s">
        <v>19</v>
      </c>
      <c r="C31" s="2" t="s">
        <v>133</v>
      </c>
      <c r="D31" s="2" t="s">
        <v>59</v>
      </c>
      <c r="E31" s="2" t="s">
        <v>134</v>
      </c>
      <c r="F31" s="2" t="s">
        <v>2</v>
      </c>
      <c r="G31" s="4" t="s">
        <v>135</v>
      </c>
      <c r="H31" s="2" t="str">
        <f aca="false">IF(G31="","Sin número",IF(LEFT(G31,1)="3","Celular","Fijo"))</f>
        <v>Celular</v>
      </c>
      <c r="I31" s="5" t="str">
        <f aca="false">IF(H31="Celular",HYPERLINK("https://wa.me/57"&amp;G31,"Abrir chat"),"")</f>
        <v>Abrir chat</v>
      </c>
      <c r="J31" s="2" t="s">
        <v>136</v>
      </c>
      <c r="K31" s="6" t="s">
        <v>25</v>
      </c>
      <c r="L31" s="7"/>
      <c r="M31" s="8" t="str">
        <f aca="false">IF(L31="","",L31+4)</f>
        <v/>
      </c>
      <c r="N31" s="6"/>
      <c r="O31" s="9" t="str">
        <f aca="false">IF(N31="","",INDEX(Planes!$B$4:$B$6,MATCH(N31,Planes!$A$4:$A$6,0)))</f>
        <v/>
      </c>
      <c r="P31" s="6" t="s">
        <v>26</v>
      </c>
      <c r="Q31" s="6"/>
      <c r="R31" s="2" t="s">
        <v>27</v>
      </c>
      <c r="S31" s="5" t="str">
        <f aca="false">HYPERLINK("https://la-eterna-2.ola.click/","Ver fuente")</f>
        <v>Ver fuente</v>
      </c>
    </row>
    <row r="32" customFormat="false" ht="15" hidden="false" customHeight="false" outlineLevel="0" collapsed="false">
      <c r="A32" s="2" t="n">
        <v>31</v>
      </c>
      <c r="B32" s="3" t="s">
        <v>19</v>
      </c>
      <c r="C32" s="2" t="s">
        <v>137</v>
      </c>
      <c r="D32" s="2" t="s">
        <v>59</v>
      </c>
      <c r="E32" s="2" t="s">
        <v>64</v>
      </c>
      <c r="F32" s="2" t="s">
        <v>74</v>
      </c>
      <c r="G32" s="4"/>
      <c r="H32" s="2" t="str">
        <f aca="false">IF(G32="","Sin número",IF(LEFT(G32,1)="3","Celular","Fijo"))</f>
        <v>Sin número</v>
      </c>
      <c r="I32" s="5" t="str">
        <f aca="false">IF(H32="Celular",HYPERLINK("https://wa.me/57"&amp;G32,"Abrir chat"),"")</f>
        <v/>
      </c>
      <c r="J32" s="2" t="s">
        <v>138</v>
      </c>
      <c r="K32" s="6" t="s">
        <v>25</v>
      </c>
      <c r="L32" s="7"/>
      <c r="M32" s="8" t="str">
        <f aca="false">IF(L32="","",L32+4)</f>
        <v/>
      </c>
      <c r="N32" s="6"/>
      <c r="O32" s="9" t="str">
        <f aca="false">IF(N32="","",INDEX(Planes!$B$4:$B$6,MATCH(N32,Planes!$A$4:$A$6,0)))</f>
        <v/>
      </c>
      <c r="P32" s="6" t="s">
        <v>33</v>
      </c>
      <c r="Q32" s="6"/>
      <c r="R32" s="2" t="s">
        <v>27</v>
      </c>
      <c r="S32" s="5" t="str">
        <f aca="false">HYPERLINK("https://la-locura-de-celia-asado-restaurante.ola.click/","Ver fuente")</f>
        <v>Ver fuente</v>
      </c>
    </row>
    <row r="33" customFormat="false" ht="15" hidden="false" customHeight="false" outlineLevel="0" collapsed="false">
      <c r="A33" s="2" t="n">
        <v>32</v>
      </c>
      <c r="B33" s="3" t="s">
        <v>19</v>
      </c>
      <c r="C33" s="2" t="s">
        <v>139</v>
      </c>
      <c r="D33" s="2" t="s">
        <v>59</v>
      </c>
      <c r="E33" s="2" t="s">
        <v>64</v>
      </c>
      <c r="F33" s="2" t="s">
        <v>98</v>
      </c>
      <c r="G33" s="4" t="s">
        <v>140</v>
      </c>
      <c r="H33" s="2" t="str">
        <f aca="false">IF(G33="","Sin número",IF(LEFT(G33,1)="3","Celular","Fijo"))</f>
        <v>Celular</v>
      </c>
      <c r="I33" s="5" t="str">
        <f aca="false">IF(H33="Celular",HYPERLINK("https://wa.me/57"&amp;G33,"Abrir chat"),"")</f>
        <v>Abrir chat</v>
      </c>
      <c r="J33" s="2" t="s">
        <v>141</v>
      </c>
      <c r="K33" s="6" t="s">
        <v>25</v>
      </c>
      <c r="L33" s="7"/>
      <c r="M33" s="8" t="str">
        <f aca="false">IF(L33="","",L33+4)</f>
        <v/>
      </c>
      <c r="N33" s="6"/>
      <c r="O33" s="9" t="str">
        <f aca="false">IF(N33="","",INDEX(Planes!$B$4:$B$6,MATCH(N33,Planes!$A$4:$A$6,0)))</f>
        <v/>
      </c>
      <c r="P33" s="6" t="s">
        <v>26</v>
      </c>
      <c r="Q33" s="6"/>
      <c r="R33" s="2" t="s">
        <v>27</v>
      </c>
      <c r="S33" s="5" t="str">
        <f aca="false">HYPERLINK("https://lasazondealde.ola.click/","Ver fuente")</f>
        <v>Ver fuente</v>
      </c>
    </row>
    <row r="34" customFormat="false" ht="15" hidden="false" customHeight="false" outlineLevel="0" collapsed="false">
      <c r="A34" s="2" t="n">
        <v>33</v>
      </c>
      <c r="B34" s="3" t="s">
        <v>19</v>
      </c>
      <c r="C34" s="2" t="s">
        <v>142</v>
      </c>
      <c r="D34" s="2" t="s">
        <v>59</v>
      </c>
      <c r="E34" s="2" t="s">
        <v>64</v>
      </c>
      <c r="F34" s="2" t="s">
        <v>143</v>
      </c>
      <c r="G34" s="4" t="s">
        <v>144</v>
      </c>
      <c r="H34" s="2" t="str">
        <f aca="false">IF(G34="","Sin número",IF(LEFT(G34,1)="3","Celular","Fijo"))</f>
        <v>Celular</v>
      </c>
      <c r="I34" s="5" t="str">
        <f aca="false">IF(H34="Celular",HYPERLINK("https://wa.me/57"&amp;G34,"Abrir chat"),"")</f>
        <v>Abrir chat</v>
      </c>
      <c r="J34" s="2"/>
      <c r="K34" s="6" t="s">
        <v>25</v>
      </c>
      <c r="L34" s="7"/>
      <c r="M34" s="8" t="str">
        <f aca="false">IF(L34="","",L34+4)</f>
        <v/>
      </c>
      <c r="N34" s="6"/>
      <c r="O34" s="9" t="str">
        <f aca="false">IF(N34="","",INDEX(Planes!$B$4:$B$6,MATCH(N34,Planes!$A$4:$A$6,0)))</f>
        <v/>
      </c>
      <c r="P34" s="6" t="s">
        <v>26</v>
      </c>
      <c r="Q34" s="6"/>
      <c r="R34" s="2" t="s">
        <v>145</v>
      </c>
      <c r="S34" s="5" t="str">
        <f aca="false">HYPERLINK("https://medellinguru.com/laureles-with-domicilio/","Ver fuente")</f>
        <v>Ver fuente</v>
      </c>
    </row>
    <row r="35" customFormat="false" ht="15" hidden="false" customHeight="false" outlineLevel="0" collapsed="false">
      <c r="A35" s="2" t="n">
        <v>34</v>
      </c>
      <c r="B35" s="3" t="s">
        <v>19</v>
      </c>
      <c r="C35" s="2" t="s">
        <v>146</v>
      </c>
      <c r="D35" s="2" t="s">
        <v>59</v>
      </c>
      <c r="E35" s="2" t="s">
        <v>64</v>
      </c>
      <c r="F35" s="2" t="s">
        <v>147</v>
      </c>
      <c r="G35" s="4" t="s">
        <v>148</v>
      </c>
      <c r="H35" s="2" t="str">
        <f aca="false">IF(G35="","Sin número",IF(LEFT(G35,1)="3","Celular","Fijo"))</f>
        <v>Celular</v>
      </c>
      <c r="I35" s="5" t="str">
        <f aca="false">IF(H35="Celular",HYPERLINK("https://wa.me/57"&amp;G35,"Abrir chat"),"")</f>
        <v>Abrir chat</v>
      </c>
      <c r="J35" s="2" t="s">
        <v>149</v>
      </c>
      <c r="K35" s="6" t="s">
        <v>25</v>
      </c>
      <c r="L35" s="7"/>
      <c r="M35" s="8" t="str">
        <f aca="false">IF(L35="","",L35+4)</f>
        <v/>
      </c>
      <c r="N35" s="6"/>
      <c r="O35" s="9" t="str">
        <f aca="false">IF(N35="","",INDEX(Planes!$B$4:$B$6,MATCH(N35,Planes!$A$4:$A$6,0)))</f>
        <v/>
      </c>
      <c r="P35" s="6" t="s">
        <v>26</v>
      </c>
      <c r="Q35" s="6"/>
      <c r="R35" s="2" t="s">
        <v>27</v>
      </c>
      <c r="S35" s="5" t="str">
        <f aca="false">HYPERLINK("https://los-costenitos-expres.ola.click/","Ver fuente")</f>
        <v>Ver fuente</v>
      </c>
    </row>
    <row r="36" customFormat="false" ht="15" hidden="false" customHeight="false" outlineLevel="0" collapsed="false">
      <c r="A36" s="2" t="n">
        <v>35</v>
      </c>
      <c r="B36" s="3" t="s">
        <v>19</v>
      </c>
      <c r="C36" s="2" t="s">
        <v>150</v>
      </c>
      <c r="D36" s="2" t="s">
        <v>59</v>
      </c>
      <c r="E36" s="2" t="s">
        <v>54</v>
      </c>
      <c r="F36" s="2" t="s">
        <v>124</v>
      </c>
      <c r="G36" s="4" t="s">
        <v>151</v>
      </c>
      <c r="H36" s="2" t="str">
        <f aca="false">IF(G36="","Sin número",IF(LEFT(G36,1)="3","Celular","Fijo"))</f>
        <v>Celular</v>
      </c>
      <c r="I36" s="5" t="str">
        <f aca="false">IF(H36="Celular",HYPERLINK("https://wa.me/57"&amp;G36,"Abrir chat"),"")</f>
        <v>Abrir chat</v>
      </c>
      <c r="J36" s="2" t="s">
        <v>152</v>
      </c>
      <c r="K36" s="6" t="s">
        <v>25</v>
      </c>
      <c r="L36" s="7"/>
      <c r="M36" s="8" t="str">
        <f aca="false">IF(L36="","",L36+4)</f>
        <v/>
      </c>
      <c r="N36" s="6"/>
      <c r="O36" s="9" t="str">
        <f aca="false">IF(N36="","",INDEX(Planes!$B$4:$B$6,MATCH(N36,Planes!$A$4:$A$6,0)))</f>
        <v/>
      </c>
      <c r="P36" s="6" t="s">
        <v>26</v>
      </c>
      <c r="Q36" s="6"/>
      <c r="R36" s="2" t="s">
        <v>27</v>
      </c>
      <c r="S36" s="5" t="str">
        <f aca="false">HYPERLINK("https://lupita-col.ola.click/","Ver fuente")</f>
        <v>Ver fuente</v>
      </c>
    </row>
    <row r="37" customFormat="false" ht="15" hidden="false" customHeight="false" outlineLevel="0" collapsed="false">
      <c r="A37" s="2" t="n">
        <v>36</v>
      </c>
      <c r="B37" s="3" t="s">
        <v>19</v>
      </c>
      <c r="C37" s="2" t="s">
        <v>153</v>
      </c>
      <c r="D37" s="2" t="s">
        <v>59</v>
      </c>
      <c r="E37" s="2" t="s">
        <v>64</v>
      </c>
      <c r="F37" s="2" t="s">
        <v>2</v>
      </c>
      <c r="G37" s="4" t="s">
        <v>154</v>
      </c>
      <c r="H37" s="2" t="str">
        <f aca="false">IF(G37="","Sin número",IF(LEFT(G37,1)="3","Celular","Fijo"))</f>
        <v>Celular</v>
      </c>
      <c r="I37" s="5" t="str">
        <f aca="false">IF(H37="Celular",HYPERLINK("https://wa.me/57"&amp;G37,"Abrir chat"),"")</f>
        <v>Abrir chat</v>
      </c>
      <c r="J37" s="2" t="s">
        <v>155</v>
      </c>
      <c r="K37" s="6" t="s">
        <v>25</v>
      </c>
      <c r="L37" s="7"/>
      <c r="M37" s="8" t="str">
        <f aca="false">IF(L37="","",L37+4)</f>
        <v/>
      </c>
      <c r="N37" s="6"/>
      <c r="O37" s="9" t="str">
        <f aca="false">IF(N37="","",INDEX(Planes!$B$4:$B$6,MATCH(N37,Planes!$A$4:$A$6,0)))</f>
        <v/>
      </c>
      <c r="P37" s="6" t="s">
        <v>26</v>
      </c>
      <c r="Q37" s="6"/>
      <c r="R37" s="2" t="s">
        <v>27</v>
      </c>
      <c r="S37" s="5" t="str">
        <f aca="false">HYPERLINK("https://restaurantemrwill.ola.click/","Ver fuente")</f>
        <v>Ver fuente</v>
      </c>
    </row>
    <row r="38" customFormat="false" ht="15" hidden="false" customHeight="false" outlineLevel="0" collapsed="false">
      <c r="A38" s="2" t="n">
        <v>37</v>
      </c>
      <c r="B38" s="3" t="s">
        <v>19</v>
      </c>
      <c r="C38" s="2" t="s">
        <v>156</v>
      </c>
      <c r="D38" s="2" t="s">
        <v>59</v>
      </c>
      <c r="E38" s="2" t="s">
        <v>157</v>
      </c>
      <c r="F38" s="2" t="s">
        <v>111</v>
      </c>
      <c r="G38" s="4"/>
      <c r="H38" s="2" t="str">
        <f aca="false">IF(G38="","Sin número",IF(LEFT(G38,1)="3","Celular","Fijo"))</f>
        <v>Sin número</v>
      </c>
      <c r="I38" s="5" t="str">
        <f aca="false">IF(H38="Celular",HYPERLINK("https://wa.me/57"&amp;G38,"Abrir chat"),"")</f>
        <v/>
      </c>
      <c r="J38" s="2" t="s">
        <v>158</v>
      </c>
      <c r="K38" s="6" t="s">
        <v>25</v>
      </c>
      <c r="L38" s="7"/>
      <c r="M38" s="8" t="str">
        <f aca="false">IF(L38="","",L38+4)</f>
        <v/>
      </c>
      <c r="N38" s="6"/>
      <c r="O38" s="9" t="str">
        <f aca="false">IF(N38="","",INDEX(Planes!$B$4:$B$6,MATCH(N38,Planes!$A$4:$A$6,0)))</f>
        <v/>
      </c>
      <c r="P38" s="6" t="s">
        <v>33</v>
      </c>
      <c r="Q38" s="6"/>
      <c r="R38" s="2" t="s">
        <v>27</v>
      </c>
      <c r="S38" s="5" t="str">
        <f aca="false">HYPERLINK("https://muzarellas-pizza.ola.click/","Ver fuente")</f>
        <v>Ver fuente</v>
      </c>
    </row>
    <row r="39" customFormat="false" ht="15" hidden="false" customHeight="false" outlineLevel="0" collapsed="false">
      <c r="A39" s="2" t="n">
        <v>38</v>
      </c>
      <c r="B39" s="3" t="s">
        <v>19</v>
      </c>
      <c r="C39" s="2" t="s">
        <v>159</v>
      </c>
      <c r="D39" s="2" t="s">
        <v>59</v>
      </c>
      <c r="E39" s="2" t="s">
        <v>83</v>
      </c>
      <c r="F39" s="2" t="s">
        <v>118</v>
      </c>
      <c r="G39" s="4" t="s">
        <v>160</v>
      </c>
      <c r="H39" s="2" t="str">
        <f aca="false">IF(G39="","Sin número",IF(LEFT(G39,1)="3","Celular","Fijo"))</f>
        <v>Celular</v>
      </c>
      <c r="I39" s="5" t="str">
        <f aca="false">IF(H39="Celular",HYPERLINK("https://wa.me/57"&amp;G39,"Abrir chat"),"")</f>
        <v>Abrir chat</v>
      </c>
      <c r="J39" s="2" t="s">
        <v>161</v>
      </c>
      <c r="K39" s="6" t="s">
        <v>25</v>
      </c>
      <c r="L39" s="7"/>
      <c r="M39" s="8" t="str">
        <f aca="false">IF(L39="","",L39+4)</f>
        <v/>
      </c>
      <c r="N39" s="6"/>
      <c r="O39" s="9" t="str">
        <f aca="false">IF(N39="","",INDEX(Planes!$B$4:$B$6,MATCH(N39,Planes!$A$4:$A$6,0)))</f>
        <v/>
      </c>
      <c r="P39" s="6" t="s">
        <v>26</v>
      </c>
      <c r="Q39" s="6"/>
      <c r="R39" s="2" t="s">
        <v>27</v>
      </c>
      <c r="S39" s="5" t="str">
        <f aca="false">HYPERLINK("https://parrilla-nogales-barbecue.ola.click/","Ver fuente")</f>
        <v>Ver fuente</v>
      </c>
    </row>
    <row r="40" customFormat="false" ht="15" hidden="false" customHeight="false" outlineLevel="0" collapsed="false">
      <c r="A40" s="2" t="n">
        <v>39</v>
      </c>
      <c r="B40" s="3" t="s">
        <v>19</v>
      </c>
      <c r="C40" s="2" t="s">
        <v>162</v>
      </c>
      <c r="D40" s="2" t="s">
        <v>59</v>
      </c>
      <c r="E40" s="2" t="s">
        <v>64</v>
      </c>
      <c r="F40" s="2" t="s">
        <v>118</v>
      </c>
      <c r="G40" s="4"/>
      <c r="H40" s="2" t="str">
        <f aca="false">IF(G40="","Sin número",IF(LEFT(G40,1)="3","Celular","Fijo"))</f>
        <v>Sin número</v>
      </c>
      <c r="I40" s="5" t="str">
        <f aca="false">IF(H40="Celular",HYPERLINK("https://wa.me/57"&amp;G40,"Abrir chat"),"")</f>
        <v/>
      </c>
      <c r="J40" s="2" t="s">
        <v>163</v>
      </c>
      <c r="K40" s="6" t="s">
        <v>25</v>
      </c>
      <c r="L40" s="7"/>
      <c r="M40" s="8" t="str">
        <f aca="false">IF(L40="","",L40+4)</f>
        <v/>
      </c>
      <c r="N40" s="6"/>
      <c r="O40" s="9" t="str">
        <f aca="false">IF(N40="","",INDEX(Planes!$B$4:$B$6,MATCH(N40,Planes!$A$4:$A$6,0)))</f>
        <v/>
      </c>
      <c r="P40" s="6" t="s">
        <v>33</v>
      </c>
      <c r="Q40" s="6"/>
      <c r="R40" s="2" t="s">
        <v>27</v>
      </c>
      <c r="S40" s="5" t="str">
        <f aca="false">HYPERLINK("https://parrillas-caracas.ola.click/","Ver fuente")</f>
        <v>Ver fuente</v>
      </c>
    </row>
    <row r="41" customFormat="false" ht="15" hidden="false" customHeight="false" outlineLevel="0" collapsed="false">
      <c r="A41" s="2" t="n">
        <v>40</v>
      </c>
      <c r="B41" s="3" t="s">
        <v>19</v>
      </c>
      <c r="C41" s="2" t="s">
        <v>164</v>
      </c>
      <c r="D41" s="2" t="s">
        <v>59</v>
      </c>
      <c r="E41" s="2" t="s">
        <v>165</v>
      </c>
      <c r="F41" s="2" t="s">
        <v>45</v>
      </c>
      <c r="G41" s="4" t="s">
        <v>166</v>
      </c>
      <c r="H41" s="2" t="str">
        <f aca="false">IF(G41="","Sin número",IF(LEFT(G41,1)="3","Celular","Fijo"))</f>
        <v>Celular</v>
      </c>
      <c r="I41" s="5" t="str">
        <f aca="false">IF(H41="Celular",HYPERLINK("https://wa.me/57"&amp;G41,"Abrir chat"),"")</f>
        <v>Abrir chat</v>
      </c>
      <c r="J41" s="2"/>
      <c r="K41" s="6" t="s">
        <v>25</v>
      </c>
      <c r="L41" s="7"/>
      <c r="M41" s="8" t="str">
        <f aca="false">IF(L41="","",L41+4)</f>
        <v/>
      </c>
      <c r="N41" s="6"/>
      <c r="O41" s="9" t="str">
        <f aca="false">IF(N41="","",INDEX(Planes!$B$4:$B$6,MATCH(N41,Planes!$A$4:$A$6,0)))</f>
        <v/>
      </c>
      <c r="P41" s="6" t="s">
        <v>26</v>
      </c>
      <c r="Q41" s="6"/>
      <c r="R41" s="2" t="s">
        <v>167</v>
      </c>
      <c r="S41" s="5" t="str">
        <f aca="false">HYPERLINK("https://medellinguru.com/pigasus/","Ver fuente")</f>
        <v>Ver fuente</v>
      </c>
    </row>
    <row r="42" customFormat="false" ht="15" hidden="false" customHeight="false" outlineLevel="0" collapsed="false">
      <c r="A42" s="2" t="n">
        <v>41</v>
      </c>
      <c r="B42" s="3" t="s">
        <v>19</v>
      </c>
      <c r="C42" s="2" t="s">
        <v>168</v>
      </c>
      <c r="D42" s="2" t="s">
        <v>59</v>
      </c>
      <c r="E42" s="2"/>
      <c r="F42" s="2" t="s">
        <v>111</v>
      </c>
      <c r="G42" s="4"/>
      <c r="H42" s="2" t="str">
        <f aca="false">IF(G42="","Sin número",IF(LEFT(G42,1)="3","Celular","Fijo"))</f>
        <v>Sin número</v>
      </c>
      <c r="I42" s="5" t="str">
        <f aca="false">IF(H42="Celular",HYPERLINK("https://wa.me/57"&amp;G42,"Abrir chat"),"")</f>
        <v/>
      </c>
      <c r="J42" s="2"/>
      <c r="K42" s="6" t="s">
        <v>25</v>
      </c>
      <c r="L42" s="7"/>
      <c r="M42" s="8" t="str">
        <f aca="false">IF(L42="","",L42+4)</f>
        <v/>
      </c>
      <c r="N42" s="6"/>
      <c r="O42" s="9" t="str">
        <f aca="false">IF(N42="","",INDEX(Planes!$B$4:$B$6,MATCH(N42,Planes!$A$4:$A$6,0)))</f>
        <v/>
      </c>
      <c r="P42" s="6" t="s">
        <v>33</v>
      </c>
      <c r="Q42" s="6"/>
      <c r="R42" s="2" t="s">
        <v>27</v>
      </c>
      <c r="S42" s="5" t="str">
        <f aca="false">HYPERLINK("https://pplp.ola.click/","Ver fuente")</f>
        <v>Ver fuente</v>
      </c>
    </row>
    <row r="43" customFormat="false" ht="15" hidden="false" customHeight="false" outlineLevel="0" collapsed="false">
      <c r="A43" s="2" t="n">
        <v>42</v>
      </c>
      <c r="B43" s="3" t="s">
        <v>19</v>
      </c>
      <c r="C43" s="2" t="s">
        <v>169</v>
      </c>
      <c r="D43" s="2" t="s">
        <v>59</v>
      </c>
      <c r="E43" s="2" t="s">
        <v>64</v>
      </c>
      <c r="F43" s="2" t="s">
        <v>143</v>
      </c>
      <c r="G43" s="4" t="s">
        <v>170</v>
      </c>
      <c r="H43" s="2" t="str">
        <f aca="false">IF(G43="","Sin número",IF(LEFT(G43,1)="3","Celular","Fijo"))</f>
        <v>Celular</v>
      </c>
      <c r="I43" s="5" t="str">
        <f aca="false">IF(H43="Celular",HYPERLINK("https://wa.me/57"&amp;G43,"Abrir chat"),"")</f>
        <v>Abrir chat</v>
      </c>
      <c r="J43" s="2" t="s">
        <v>171</v>
      </c>
      <c r="K43" s="6" t="s">
        <v>25</v>
      </c>
      <c r="L43" s="7"/>
      <c r="M43" s="8" t="str">
        <f aca="false">IF(L43="","",L43+4)</f>
        <v/>
      </c>
      <c r="N43" s="6"/>
      <c r="O43" s="9" t="str">
        <f aca="false">IF(N43="","",INDEX(Planes!$B$4:$B$6,MATCH(N43,Planes!$A$4:$A$6,0)))</f>
        <v/>
      </c>
      <c r="P43" s="6" t="s">
        <v>26</v>
      </c>
      <c r="Q43" s="6"/>
      <c r="R43" s="2" t="s">
        <v>27</v>
      </c>
      <c r="S43" s="5" t="str">
        <f aca="false">HYPERLINK("https://puro-coco.ola.click/","Ver fuente")</f>
        <v>Ver fuente</v>
      </c>
    </row>
    <row r="44" customFormat="false" ht="15" hidden="false" customHeight="false" outlineLevel="0" collapsed="false">
      <c r="A44" s="2" t="n">
        <v>43</v>
      </c>
      <c r="B44" s="3" t="s">
        <v>19</v>
      </c>
      <c r="C44" s="2" t="s">
        <v>172</v>
      </c>
      <c r="D44" s="2" t="s">
        <v>59</v>
      </c>
      <c r="E44" s="2" t="s">
        <v>54</v>
      </c>
      <c r="F44" s="2" t="s">
        <v>70</v>
      </c>
      <c r="G44" s="4" t="s">
        <v>173</v>
      </c>
      <c r="H44" s="2" t="str">
        <f aca="false">IF(G44="","Sin número",IF(LEFT(G44,1)="3","Celular","Fijo"))</f>
        <v>Celular</v>
      </c>
      <c r="I44" s="5" t="str">
        <f aca="false">IF(H44="Celular",HYPERLINK("https://wa.me/57"&amp;G44,"Abrir chat"),"")</f>
        <v>Abrir chat</v>
      </c>
      <c r="J44" s="2" t="s">
        <v>174</v>
      </c>
      <c r="K44" s="6" t="s">
        <v>25</v>
      </c>
      <c r="L44" s="7"/>
      <c r="M44" s="8" t="str">
        <f aca="false">IF(L44="","",L44+4)</f>
        <v/>
      </c>
      <c r="N44" s="6"/>
      <c r="O44" s="9" t="str">
        <f aca="false">IF(N44="","",INDEX(Planes!$B$4:$B$6,MATCH(N44,Planes!$A$4:$A$6,0)))</f>
        <v/>
      </c>
      <c r="P44" s="6" t="s">
        <v>26</v>
      </c>
      <c r="Q44" s="6"/>
      <c r="R44" s="2" t="s">
        <v>27</v>
      </c>
      <c r="S44" s="5" t="str">
        <f aca="false">HYPERLINK("https://ricomilones.ola.click/","Ver fuente")</f>
        <v>Ver fuente</v>
      </c>
    </row>
    <row r="45" customFormat="false" ht="15" hidden="false" customHeight="false" outlineLevel="0" collapsed="false">
      <c r="A45" s="2" t="n">
        <v>44</v>
      </c>
      <c r="B45" s="3" t="s">
        <v>19</v>
      </c>
      <c r="C45" s="2" t="s">
        <v>175</v>
      </c>
      <c r="D45" s="2" t="s">
        <v>59</v>
      </c>
      <c r="E45" s="2" t="s">
        <v>60</v>
      </c>
      <c r="F45" s="2" t="s">
        <v>124</v>
      </c>
      <c r="G45" s="4" t="s">
        <v>176</v>
      </c>
      <c r="H45" s="2" t="str">
        <f aca="false">IF(G45="","Sin número",IF(LEFT(G45,1)="3","Celular","Fijo"))</f>
        <v>Celular</v>
      </c>
      <c r="I45" s="5" t="str">
        <f aca="false">IF(H45="Celular",HYPERLINK("https://wa.me/57"&amp;G45,"Abrir chat"),"")</f>
        <v>Abrir chat</v>
      </c>
      <c r="J45" s="2" t="s">
        <v>177</v>
      </c>
      <c r="K45" s="6" t="s">
        <v>25</v>
      </c>
      <c r="L45" s="7"/>
      <c r="M45" s="8" t="str">
        <f aca="false">IF(L45="","",L45+4)</f>
        <v/>
      </c>
      <c r="N45" s="6"/>
      <c r="O45" s="9" t="str">
        <f aca="false">IF(N45="","",INDEX(Planes!$B$4:$B$6,MATCH(N45,Planes!$A$4:$A$6,0)))</f>
        <v/>
      </c>
      <c r="P45" s="6" t="s">
        <v>26</v>
      </c>
      <c r="Q45" s="6"/>
      <c r="R45" s="2" t="s">
        <v>96</v>
      </c>
      <c r="S45" s="5" t="str">
        <f aca="false">HYPERLINK("https://medellinguru.com/rocoto/","Ver fuente")</f>
        <v>Ver fuente</v>
      </c>
    </row>
    <row r="46" customFormat="false" ht="15" hidden="false" customHeight="false" outlineLevel="0" collapsed="false">
      <c r="A46" s="2" t="n">
        <v>45</v>
      </c>
      <c r="B46" s="3" t="s">
        <v>19</v>
      </c>
      <c r="C46" s="2" t="s">
        <v>178</v>
      </c>
      <c r="D46" s="2" t="s">
        <v>59</v>
      </c>
      <c r="E46" s="2" t="s">
        <v>64</v>
      </c>
      <c r="F46" s="2" t="s">
        <v>179</v>
      </c>
      <c r="G46" s="4" t="s">
        <v>180</v>
      </c>
      <c r="H46" s="2" t="str">
        <f aca="false">IF(G46="","Sin número",IF(LEFT(G46,1)="3","Celular","Fijo"))</f>
        <v>Celular</v>
      </c>
      <c r="I46" s="5" t="str">
        <f aca="false">IF(H46="Celular",HYPERLINK("https://wa.me/57"&amp;G46,"Abrir chat"),"")</f>
        <v>Abrir chat</v>
      </c>
      <c r="J46" s="2"/>
      <c r="K46" s="6" t="s">
        <v>25</v>
      </c>
      <c r="L46" s="7"/>
      <c r="M46" s="8" t="str">
        <f aca="false">IF(L46="","",L46+4)</f>
        <v/>
      </c>
      <c r="N46" s="6"/>
      <c r="O46" s="9" t="str">
        <f aca="false">IF(N46="","",INDEX(Planes!$B$4:$B$6,MATCH(N46,Planes!$A$4:$A$6,0)))</f>
        <v/>
      </c>
      <c r="P46" s="6" t="s">
        <v>26</v>
      </c>
      <c r="Q46" s="6"/>
      <c r="R46" s="2" t="s">
        <v>96</v>
      </c>
      <c r="S46" s="5" t="str">
        <f aca="false">HYPERLINK("https://medellinguru.com/laureles-with-domicilio/","Ver fuente")</f>
        <v>Ver fuente</v>
      </c>
    </row>
    <row r="47" customFormat="false" ht="15" hidden="false" customHeight="false" outlineLevel="0" collapsed="false">
      <c r="A47" s="2" t="n">
        <v>46</v>
      </c>
      <c r="B47" s="3" t="s">
        <v>19</v>
      </c>
      <c r="C47" s="2" t="s">
        <v>181</v>
      </c>
      <c r="D47" s="2" t="s">
        <v>59</v>
      </c>
      <c r="E47" s="2" t="s">
        <v>60</v>
      </c>
      <c r="F47" s="2" t="s">
        <v>2</v>
      </c>
      <c r="G47" s="4"/>
      <c r="H47" s="2" t="str">
        <f aca="false">IF(G47="","Sin número",IF(LEFT(G47,1)="3","Celular","Fijo"))</f>
        <v>Sin número</v>
      </c>
      <c r="I47" s="5" t="str">
        <f aca="false">IF(H47="Celular",HYPERLINK("https://wa.me/57"&amp;G47,"Abrir chat"),"")</f>
        <v/>
      </c>
      <c r="J47" s="2" t="s">
        <v>182</v>
      </c>
      <c r="K47" s="6" t="s">
        <v>25</v>
      </c>
      <c r="L47" s="7"/>
      <c r="M47" s="8" t="str">
        <f aca="false">IF(L47="","",L47+4)</f>
        <v/>
      </c>
      <c r="N47" s="6"/>
      <c r="O47" s="9" t="str">
        <f aca="false">IF(N47="","",INDEX(Planes!$B$4:$B$6,MATCH(N47,Planes!$A$4:$A$6,0)))</f>
        <v/>
      </c>
      <c r="P47" s="6" t="s">
        <v>33</v>
      </c>
      <c r="Q47" s="6"/>
      <c r="R47" s="2" t="s">
        <v>27</v>
      </c>
      <c r="S47" s="5" t="str">
        <f aca="false">HYPERLINK("https://thegarden.ola.click/","Ver fuente")</f>
        <v>Ver fuente</v>
      </c>
    </row>
    <row r="48" customFormat="false" ht="15" hidden="false" customHeight="false" outlineLevel="0" collapsed="false">
      <c r="A48" s="2" t="n">
        <v>47</v>
      </c>
      <c r="B48" s="3" t="s">
        <v>19</v>
      </c>
      <c r="C48" s="2" t="s">
        <v>183</v>
      </c>
      <c r="D48" s="2" t="s">
        <v>59</v>
      </c>
      <c r="E48" s="2" t="s">
        <v>64</v>
      </c>
      <c r="F48" s="2" t="s">
        <v>118</v>
      </c>
      <c r="G48" s="4" t="s">
        <v>184</v>
      </c>
      <c r="H48" s="2" t="str">
        <f aca="false">IF(G48="","Sin número",IF(LEFT(G48,1)="3","Celular","Fijo"))</f>
        <v>Celular</v>
      </c>
      <c r="I48" s="5" t="str">
        <f aca="false">IF(H48="Celular",HYPERLINK("https://wa.me/57"&amp;G48,"Abrir chat"),"")</f>
        <v>Abrir chat</v>
      </c>
      <c r="J48" s="2"/>
      <c r="K48" s="6" t="s">
        <v>25</v>
      </c>
      <c r="L48" s="7"/>
      <c r="M48" s="8" t="str">
        <f aca="false">IF(L48="","",L48+4)</f>
        <v/>
      </c>
      <c r="N48" s="6"/>
      <c r="O48" s="9" t="str">
        <f aca="false">IF(N48="","",INDEX(Planes!$B$4:$B$6,MATCH(N48,Planes!$A$4:$A$6,0)))</f>
        <v/>
      </c>
      <c r="P48" s="6" t="s">
        <v>26</v>
      </c>
      <c r="Q48" s="6"/>
      <c r="R48" s="2" t="s">
        <v>96</v>
      </c>
      <c r="S48" s="5" t="str">
        <f aca="false">HYPERLINK("https://medellinguru.com/laureles-with-domicilio/","Ver fuente")</f>
        <v>Ver fuente</v>
      </c>
    </row>
    <row r="49" customFormat="false" ht="15" hidden="false" customHeight="false" outlineLevel="0" collapsed="false">
      <c r="A49" s="2" t="n">
        <v>48</v>
      </c>
      <c r="B49" s="3" t="s">
        <v>19</v>
      </c>
      <c r="C49" s="2" t="s">
        <v>185</v>
      </c>
      <c r="D49" s="2" t="s">
        <v>59</v>
      </c>
      <c r="E49" s="2" t="s">
        <v>157</v>
      </c>
      <c r="F49" s="2" t="s">
        <v>70</v>
      </c>
      <c r="G49" s="4" t="s">
        <v>186</v>
      </c>
      <c r="H49" s="2" t="str">
        <f aca="false">IF(G49="","Sin número",IF(LEFT(G49,1)="3","Celular","Fijo"))</f>
        <v>Celular</v>
      </c>
      <c r="I49" s="5" t="str">
        <f aca="false">IF(H49="Celular",HYPERLINK("https://wa.me/57"&amp;G49,"Abrir chat"),"")</f>
        <v>Abrir chat</v>
      </c>
      <c r="J49" s="2" t="s">
        <v>187</v>
      </c>
      <c r="K49" s="6" t="s">
        <v>25</v>
      </c>
      <c r="L49" s="7"/>
      <c r="M49" s="8" t="str">
        <f aca="false">IF(L49="","",L49+4)</f>
        <v/>
      </c>
      <c r="N49" s="6"/>
      <c r="O49" s="9" t="str">
        <f aca="false">IF(N49="","",INDEX(Planes!$B$4:$B$6,MATCH(N49,Planes!$A$4:$A$6,0)))</f>
        <v/>
      </c>
      <c r="P49" s="6" t="s">
        <v>26</v>
      </c>
      <c r="Q49" s="6"/>
      <c r="R49" s="2" t="s">
        <v>27</v>
      </c>
      <c r="S49" s="5" t="str">
        <f aca="false">HYPERLINK("https://yony-perros.ola.click/","Ver fuente")</f>
        <v>Ver fuente</v>
      </c>
    </row>
    <row r="50" customFormat="false" ht="15" hidden="false" customHeight="false" outlineLevel="0" collapsed="false">
      <c r="A50" s="2" t="n">
        <v>49</v>
      </c>
      <c r="B50" s="10" t="s">
        <v>188</v>
      </c>
      <c r="C50" s="2" t="s">
        <v>189</v>
      </c>
      <c r="D50" s="2" t="s">
        <v>21</v>
      </c>
      <c r="E50" s="2"/>
      <c r="F50" s="2" t="s">
        <v>70</v>
      </c>
      <c r="G50" s="4" t="s">
        <v>190</v>
      </c>
      <c r="H50" s="2" t="str">
        <f aca="false">IF(G50="","Sin número",IF(LEFT(G50,1)="3","Celular","Fijo"))</f>
        <v>Celular</v>
      </c>
      <c r="I50" s="5" t="str">
        <f aca="false">IF(H50="Celular",HYPERLINK("https://wa.me/57"&amp;G50,"Abrir chat"),"")</f>
        <v>Abrir chat</v>
      </c>
      <c r="J50" s="2" t="s">
        <v>191</v>
      </c>
      <c r="K50" s="6" t="s">
        <v>25</v>
      </c>
      <c r="L50" s="7"/>
      <c r="M50" s="8" t="str">
        <f aca="false">IF(L50="","",L50+4)</f>
        <v/>
      </c>
      <c r="N50" s="6"/>
      <c r="O50" s="9" t="str">
        <f aca="false">IF(N50="","",INDEX(Planes!$B$4:$B$6,MATCH(N50,Planes!$A$4:$A$6,0)))</f>
        <v/>
      </c>
      <c r="P50" s="6" t="s">
        <v>192</v>
      </c>
      <c r="Q50" s="6"/>
      <c r="R50" s="2" t="s">
        <v>193</v>
      </c>
      <c r="S50" s="5" t="str">
        <f aca="false">HYPERLINK("https://www.informacolombia.com/directorio-empresas/informacion-empresa/alimentos-rapido-sabroso-sas","Ver fuente")</f>
        <v>Ver fuente</v>
      </c>
    </row>
    <row r="51" customFormat="false" ht="15" hidden="false" customHeight="false" outlineLevel="0" collapsed="false">
      <c r="A51" s="2" t="n">
        <v>50</v>
      </c>
      <c r="B51" s="10" t="s">
        <v>188</v>
      </c>
      <c r="C51" s="2" t="s">
        <v>194</v>
      </c>
      <c r="D51" s="2" t="s">
        <v>21</v>
      </c>
      <c r="E51" s="2"/>
      <c r="F51" s="2" t="s">
        <v>2</v>
      </c>
      <c r="G51" s="4" t="s">
        <v>195</v>
      </c>
      <c r="H51" s="2" t="str">
        <f aca="false">IF(G51="","Sin número",IF(LEFT(G51,1)="3","Celular","Fijo"))</f>
        <v>Celular</v>
      </c>
      <c r="I51" s="5" t="str">
        <f aca="false">IF(H51="Celular",HYPERLINK("https://wa.me/57"&amp;G51,"Abrir chat"),"")</f>
        <v>Abrir chat</v>
      </c>
      <c r="J51" s="2" t="s">
        <v>196</v>
      </c>
      <c r="K51" s="6" t="s">
        <v>25</v>
      </c>
      <c r="L51" s="7"/>
      <c r="M51" s="8" t="str">
        <f aca="false">IF(L51="","",L51+4)</f>
        <v/>
      </c>
      <c r="N51" s="6"/>
      <c r="O51" s="9" t="str">
        <f aca="false">IF(N51="","",INDEX(Planes!$B$4:$B$6,MATCH(N51,Planes!$A$4:$A$6,0)))</f>
        <v/>
      </c>
      <c r="P51" s="6" t="s">
        <v>192</v>
      </c>
      <c r="Q51" s="6"/>
      <c r="R51" s="2" t="s">
        <v>193</v>
      </c>
      <c r="S51" s="5" t="str">
        <f aca="false">HYPERLINK("https://www.informacolombia.com/directorio-empresas/informacion-empresa/collazos-sabores-tradicion-sas","Ver fuente")</f>
        <v>Ver fuente</v>
      </c>
    </row>
    <row r="52" customFormat="false" ht="15" hidden="false" customHeight="false" outlineLevel="0" collapsed="false">
      <c r="A52" s="2" t="n">
        <v>51</v>
      </c>
      <c r="B52" s="10" t="s">
        <v>188</v>
      </c>
      <c r="C52" s="2" t="s">
        <v>197</v>
      </c>
      <c r="D52" s="2" t="s">
        <v>21</v>
      </c>
      <c r="E52" s="2"/>
      <c r="F52" s="2" t="s">
        <v>118</v>
      </c>
      <c r="G52" s="4" t="s">
        <v>198</v>
      </c>
      <c r="H52" s="2" t="str">
        <f aca="false">IF(G52="","Sin número",IF(LEFT(G52,1)="3","Celular","Fijo"))</f>
        <v>Celular</v>
      </c>
      <c r="I52" s="5" t="str">
        <f aca="false">IF(H52="Celular",HYPERLINK("https://wa.me/57"&amp;G52,"Abrir chat"),"")</f>
        <v>Abrir chat</v>
      </c>
      <c r="J52" s="2" t="s">
        <v>199</v>
      </c>
      <c r="K52" s="6" t="s">
        <v>25</v>
      </c>
      <c r="L52" s="7"/>
      <c r="M52" s="8" t="str">
        <f aca="false">IF(L52="","",L52+4)</f>
        <v/>
      </c>
      <c r="N52" s="6"/>
      <c r="O52" s="9" t="str">
        <f aca="false">IF(N52="","",INDEX(Planes!$B$4:$B$6,MATCH(N52,Planes!$A$4:$A$6,0)))</f>
        <v/>
      </c>
      <c r="P52" s="6" t="s">
        <v>192</v>
      </c>
      <c r="Q52" s="6"/>
      <c r="R52" s="2" t="s">
        <v>193</v>
      </c>
      <c r="S52" s="5" t="str">
        <f aca="false">HYPERLINK("https://directorio-empresas.einforma.co/informacion-empresa/gourmet-parrilla-sas","Ver fuente")</f>
        <v>Ver fuente</v>
      </c>
    </row>
    <row r="53" customFormat="false" ht="15" hidden="false" customHeight="false" outlineLevel="0" collapsed="false">
      <c r="A53" s="2" t="n">
        <v>52</v>
      </c>
      <c r="B53" s="10" t="s">
        <v>188</v>
      </c>
      <c r="C53" s="2" t="s">
        <v>200</v>
      </c>
      <c r="D53" s="2" t="s">
        <v>21</v>
      </c>
      <c r="E53" s="2"/>
      <c r="F53" s="2" t="s">
        <v>201</v>
      </c>
      <c r="G53" s="4" t="s">
        <v>202</v>
      </c>
      <c r="H53" s="2" t="str">
        <f aca="false">IF(G53="","Sin número",IF(LEFT(G53,1)="3","Celular","Fijo"))</f>
        <v>Celular</v>
      </c>
      <c r="I53" s="5" t="str">
        <f aca="false">IF(H53="Celular",HYPERLINK("https://wa.me/57"&amp;G53,"Abrir chat"),"")</f>
        <v>Abrir chat</v>
      </c>
      <c r="J53" s="2"/>
      <c r="K53" s="6" t="s">
        <v>25</v>
      </c>
      <c r="L53" s="7"/>
      <c r="M53" s="8" t="str">
        <f aca="false">IF(L53="","",L53+4)</f>
        <v/>
      </c>
      <c r="N53" s="6"/>
      <c r="O53" s="9" t="str">
        <f aca="false">IF(N53="","",INDEX(Planes!$B$4:$B$6,MATCH(N53,Planes!$A$4:$A$6,0)))</f>
        <v/>
      </c>
      <c r="P53" s="6" t="s">
        <v>192</v>
      </c>
      <c r="Q53" s="6"/>
      <c r="R53" s="2" t="s">
        <v>193</v>
      </c>
      <c r="S53" s="5" t="str">
        <f aca="false">HYPERLINK("https://www.informacolombia.com/directorio-empresas/actividad/5611_EXPENDIO-A-LA-MESA-DE-COMIDAS-PREPARADAS/departamento_antioquia?qPg=18","Ver fuente")</f>
        <v>Ver fuente</v>
      </c>
    </row>
    <row r="54" customFormat="false" ht="15" hidden="false" customHeight="false" outlineLevel="0" collapsed="false">
      <c r="A54" s="2" t="n">
        <v>53</v>
      </c>
      <c r="B54" s="10" t="s">
        <v>188</v>
      </c>
      <c r="C54" s="2" t="s">
        <v>203</v>
      </c>
      <c r="D54" s="2" t="s">
        <v>21</v>
      </c>
      <c r="E54" s="2"/>
      <c r="F54" s="2" t="s">
        <v>201</v>
      </c>
      <c r="G54" s="4" t="s">
        <v>204</v>
      </c>
      <c r="H54" s="2" t="str">
        <f aca="false">IF(G54="","Sin número",IF(LEFT(G54,1)="3","Celular","Fijo"))</f>
        <v>Celular</v>
      </c>
      <c r="I54" s="5" t="str">
        <f aca="false">IF(H54="Celular",HYPERLINK("https://wa.me/57"&amp;G54,"Abrir chat"),"")</f>
        <v>Abrir chat</v>
      </c>
      <c r="J54" s="2"/>
      <c r="K54" s="6" t="s">
        <v>25</v>
      </c>
      <c r="L54" s="7"/>
      <c r="M54" s="8" t="str">
        <f aca="false">IF(L54="","",L54+4)</f>
        <v/>
      </c>
      <c r="N54" s="6"/>
      <c r="O54" s="9" t="str">
        <f aca="false">IF(N54="","",INDEX(Planes!$B$4:$B$6,MATCH(N54,Planes!$A$4:$A$6,0)))</f>
        <v/>
      </c>
      <c r="P54" s="6" t="s">
        <v>192</v>
      </c>
      <c r="Q54" s="6"/>
      <c r="R54" s="2" t="s">
        <v>193</v>
      </c>
      <c r="S54" s="5" t="str">
        <f aca="false">HYPERLINK("https://www.informacolombia.com/directorio-empresas/actividad/5611_EXPENDIO-A-LA-MESA-DE-COMIDAS-PREPARADAS/departamento_antioquia?qPg=18","Ver fuente")</f>
        <v>Ver fuente</v>
      </c>
    </row>
    <row r="55" customFormat="false" ht="15" hidden="false" customHeight="false" outlineLevel="0" collapsed="false">
      <c r="A55" s="2" t="n">
        <v>54</v>
      </c>
      <c r="B55" s="10" t="s">
        <v>188</v>
      </c>
      <c r="C55" s="2" t="s">
        <v>205</v>
      </c>
      <c r="D55" s="2" t="s">
        <v>21</v>
      </c>
      <c r="E55" s="2"/>
      <c r="F55" s="2" t="s">
        <v>70</v>
      </c>
      <c r="G55" s="4" t="s">
        <v>206</v>
      </c>
      <c r="H55" s="2" t="str">
        <f aca="false">IF(G55="","Sin número",IF(LEFT(G55,1)="3","Celular","Fijo"))</f>
        <v>Celular</v>
      </c>
      <c r="I55" s="5" t="str">
        <f aca="false">IF(H55="Celular",HYPERLINK("https://wa.me/57"&amp;G55,"Abrir chat"),"")</f>
        <v>Abrir chat</v>
      </c>
      <c r="J55" s="2" t="s">
        <v>207</v>
      </c>
      <c r="K55" s="6" t="s">
        <v>25</v>
      </c>
      <c r="L55" s="7"/>
      <c r="M55" s="8" t="str">
        <f aca="false">IF(L55="","",L55+4)</f>
        <v/>
      </c>
      <c r="N55" s="6"/>
      <c r="O55" s="9" t="str">
        <f aca="false">IF(N55="","",INDEX(Planes!$B$4:$B$6,MATCH(N55,Planes!$A$4:$A$6,0)))</f>
        <v/>
      </c>
      <c r="P55" s="6" t="s">
        <v>192</v>
      </c>
      <c r="Q55" s="6"/>
      <c r="R55" s="2" t="s">
        <v>193</v>
      </c>
      <c r="S55" s="5" t="str">
        <f aca="false">HYPERLINK("https://www.informacolombia.com/directorio-empresas/informacion-empresa/que-alitas-sas","Ver fuente")</f>
        <v>Ver fuente</v>
      </c>
    </row>
    <row r="56" customFormat="false" ht="15" hidden="false" customHeight="false" outlineLevel="0" collapsed="false">
      <c r="A56" s="2" t="n">
        <v>55</v>
      </c>
      <c r="B56" s="10" t="s">
        <v>188</v>
      </c>
      <c r="C56" s="2" t="s">
        <v>208</v>
      </c>
      <c r="D56" s="2" t="s">
        <v>21</v>
      </c>
      <c r="E56" s="2"/>
      <c r="F56" s="2" t="s">
        <v>209</v>
      </c>
      <c r="G56" s="4" t="s">
        <v>210</v>
      </c>
      <c r="H56" s="2" t="str">
        <f aca="false">IF(G56="","Sin número",IF(LEFT(G56,1)="3","Celular","Fijo"))</f>
        <v>Celular</v>
      </c>
      <c r="I56" s="5" t="str">
        <f aca="false">IF(H56="Celular",HYPERLINK("https://wa.me/57"&amp;G56,"Abrir chat"),"")</f>
        <v>Abrir chat</v>
      </c>
      <c r="J56" s="2" t="s">
        <v>211</v>
      </c>
      <c r="K56" s="6" t="s">
        <v>25</v>
      </c>
      <c r="L56" s="7"/>
      <c r="M56" s="8" t="str">
        <f aca="false">IF(L56="","",L56+4)</f>
        <v/>
      </c>
      <c r="N56" s="6"/>
      <c r="O56" s="9" t="str">
        <f aca="false">IF(N56="","",INDEX(Planes!$B$4:$B$6,MATCH(N56,Planes!$A$4:$A$6,0)))</f>
        <v/>
      </c>
      <c r="P56" s="6" t="s">
        <v>192</v>
      </c>
      <c r="Q56" s="6"/>
      <c r="R56" s="2" t="s">
        <v>193</v>
      </c>
      <c r="S56" s="5" t="str">
        <f aca="false">HYPERLINK("https://www.informacolombia.com/directorio-empresas/informacion-empresa/san-pio-food-sas","Ver fuente")</f>
        <v>Ver fuente</v>
      </c>
    </row>
    <row r="57" customFormat="false" ht="15" hidden="false" customHeight="false" outlineLevel="0" collapsed="false">
      <c r="A57" s="2" t="n">
        <v>56</v>
      </c>
      <c r="B57" s="10" t="s">
        <v>188</v>
      </c>
      <c r="C57" s="2" t="s">
        <v>212</v>
      </c>
      <c r="D57" s="2" t="s">
        <v>21</v>
      </c>
      <c r="E57" s="2"/>
      <c r="F57" s="2" t="s">
        <v>74</v>
      </c>
      <c r="G57" s="4" t="s">
        <v>213</v>
      </c>
      <c r="H57" s="2" t="str">
        <f aca="false">IF(G57="","Sin número",IF(LEFT(G57,1)="3","Celular","Fijo"))</f>
        <v>Celular</v>
      </c>
      <c r="I57" s="5" t="str">
        <f aca="false">IF(H57="Celular",HYPERLINK("https://wa.me/57"&amp;G57,"Abrir chat"),"")</f>
        <v>Abrir chat</v>
      </c>
      <c r="J57" s="2"/>
      <c r="K57" s="6" t="s">
        <v>25</v>
      </c>
      <c r="L57" s="7"/>
      <c r="M57" s="8" t="str">
        <f aca="false">IF(L57="","",L57+4)</f>
        <v/>
      </c>
      <c r="N57" s="6"/>
      <c r="O57" s="9" t="str">
        <f aca="false">IF(N57="","",INDEX(Planes!$B$4:$B$6,MATCH(N57,Planes!$A$4:$A$6,0)))</f>
        <v/>
      </c>
      <c r="P57" s="6" t="s">
        <v>192</v>
      </c>
      <c r="Q57" s="6"/>
      <c r="R57" s="2" t="s">
        <v>193</v>
      </c>
      <c r="S57" s="5" t="str">
        <f aca="false">HYPERLINK("https://www.informacolombia.com/directorio-empresas/actividad/560_ACTIVIDADES-DE-SERVICIOS-DE-COMIDAS-Y-BEBIDAS/localidad_bello?qPg=2","Ver fuente")</f>
        <v>Ver fuente</v>
      </c>
    </row>
    <row r="58" customFormat="false" ht="15" hidden="false" customHeight="false" outlineLevel="0" collapsed="false">
      <c r="A58" s="2" t="n">
        <v>57</v>
      </c>
      <c r="B58" s="10" t="s">
        <v>188</v>
      </c>
      <c r="C58" s="2" t="s">
        <v>214</v>
      </c>
      <c r="D58" s="2" t="s">
        <v>59</v>
      </c>
      <c r="E58" s="2" t="s">
        <v>60</v>
      </c>
      <c r="F58" s="2" t="s">
        <v>215</v>
      </c>
      <c r="G58" s="4" t="s">
        <v>216</v>
      </c>
      <c r="H58" s="2" t="str">
        <f aca="false">IF(G58="","Sin número",IF(LEFT(G58,1)="3","Celular","Fijo"))</f>
        <v>Celular</v>
      </c>
      <c r="I58" s="5" t="str">
        <f aca="false">IF(H58="Celular",HYPERLINK("https://wa.me/57"&amp;G58,"Abrir chat"),"")</f>
        <v>Abrir chat</v>
      </c>
      <c r="J58" s="2" t="s">
        <v>217</v>
      </c>
      <c r="K58" s="6" t="s">
        <v>25</v>
      </c>
      <c r="L58" s="7"/>
      <c r="M58" s="8" t="str">
        <f aca="false">IF(L58="","",L58+4)</f>
        <v/>
      </c>
      <c r="N58" s="6"/>
      <c r="O58" s="9" t="str">
        <f aca="false">IF(N58="","",INDEX(Planes!$B$4:$B$6,MATCH(N58,Planes!$A$4:$A$6,0)))</f>
        <v/>
      </c>
      <c r="P58" s="6" t="s">
        <v>26</v>
      </c>
      <c r="Q58" s="6"/>
      <c r="R58" s="2" t="s">
        <v>27</v>
      </c>
      <c r="S58" s="5" t="str">
        <f aca="false">HYPERLINK("https://ama-restaurante-y-mercado-vegano.ola.click/","Ver fuente")</f>
        <v>Ver fuente</v>
      </c>
    </row>
    <row r="59" customFormat="false" ht="15" hidden="false" customHeight="false" outlineLevel="0" collapsed="false">
      <c r="A59" s="2" t="n">
        <v>58</v>
      </c>
      <c r="B59" s="10" t="s">
        <v>188</v>
      </c>
      <c r="C59" s="2" t="s">
        <v>218</v>
      </c>
      <c r="D59" s="2" t="s">
        <v>59</v>
      </c>
      <c r="E59" s="2"/>
      <c r="F59" s="2" t="s">
        <v>65</v>
      </c>
      <c r="G59" s="4" t="s">
        <v>219</v>
      </c>
      <c r="H59" s="2" t="str">
        <f aca="false">IF(G59="","Sin número",IF(LEFT(G59,1)="3","Celular","Fijo"))</f>
        <v>Celular</v>
      </c>
      <c r="I59" s="5" t="str">
        <f aca="false">IF(H59="Celular",HYPERLINK("https://wa.me/57"&amp;G59,"Abrir chat"),"")</f>
        <v>Abrir chat</v>
      </c>
      <c r="J59" s="2" t="s">
        <v>220</v>
      </c>
      <c r="K59" s="6" t="s">
        <v>25</v>
      </c>
      <c r="L59" s="7"/>
      <c r="M59" s="8" t="str">
        <f aca="false">IF(L59="","",L59+4)</f>
        <v/>
      </c>
      <c r="N59" s="6"/>
      <c r="O59" s="9" t="str">
        <f aca="false">IF(N59="","",INDEX(Planes!$B$4:$B$6,MATCH(N59,Planes!$A$4:$A$6,0)))</f>
        <v/>
      </c>
      <c r="P59" s="6" t="s">
        <v>192</v>
      </c>
      <c r="Q59" s="6"/>
      <c r="R59" s="2" t="s">
        <v>193</v>
      </c>
      <c r="S59" s="5" t="str">
        <f aca="false">HYPERLINK("https://directorio-empresas.einforma.co/informacion-empresa/arepas-chachas-sas","Ver fuente")</f>
        <v>Ver fuente</v>
      </c>
    </row>
    <row r="60" customFormat="false" ht="15" hidden="false" customHeight="false" outlineLevel="0" collapsed="false">
      <c r="A60" s="2" t="n">
        <v>59</v>
      </c>
      <c r="B60" s="10" t="s">
        <v>188</v>
      </c>
      <c r="C60" s="2" t="s">
        <v>221</v>
      </c>
      <c r="D60" s="2" t="s">
        <v>59</v>
      </c>
      <c r="E60" s="2" t="s">
        <v>54</v>
      </c>
      <c r="F60" s="2" t="s">
        <v>36</v>
      </c>
      <c r="G60" s="4" t="s">
        <v>222</v>
      </c>
      <c r="H60" s="2" t="str">
        <f aca="false">IF(G60="","Sin número",IF(LEFT(G60,1)="3","Celular","Fijo"))</f>
        <v>Celular</v>
      </c>
      <c r="I60" s="5" t="str">
        <f aca="false">IF(H60="Celular",HYPERLINK("https://wa.me/57"&amp;G60,"Abrir chat"),"")</f>
        <v>Abrir chat</v>
      </c>
      <c r="J60" s="2" t="s">
        <v>223</v>
      </c>
      <c r="K60" s="6" t="s">
        <v>25</v>
      </c>
      <c r="L60" s="7"/>
      <c r="M60" s="8" t="str">
        <f aca="false">IF(L60="","",L60+4)</f>
        <v/>
      </c>
      <c r="N60" s="6"/>
      <c r="O60" s="9" t="str">
        <f aca="false">IF(N60="","",INDEX(Planes!$B$4:$B$6,MATCH(N60,Planes!$A$4:$A$6,0)))</f>
        <v/>
      </c>
      <c r="P60" s="6" t="s">
        <v>192</v>
      </c>
      <c r="Q60" s="6"/>
      <c r="R60" s="2" t="s">
        <v>193</v>
      </c>
      <c r="S60" s="5" t="str">
        <f aca="false">HYPERLINK("https://directorio-empresas.einforma.co/informacion-empresa/asados-tipicos-carbon-sas","Ver fuente")</f>
        <v>Ver fuente</v>
      </c>
    </row>
    <row r="61" customFormat="false" ht="15" hidden="false" customHeight="false" outlineLevel="0" collapsed="false">
      <c r="A61" s="2" t="n">
        <v>60</v>
      </c>
      <c r="B61" s="10" t="s">
        <v>188</v>
      </c>
      <c r="C61" s="2" t="s">
        <v>224</v>
      </c>
      <c r="D61" s="2" t="s">
        <v>59</v>
      </c>
      <c r="E61" s="2" t="s">
        <v>60</v>
      </c>
      <c r="F61" s="2" t="s">
        <v>124</v>
      </c>
      <c r="G61" s="4" t="s">
        <v>225</v>
      </c>
      <c r="H61" s="2" t="str">
        <f aca="false">IF(G61="","Sin número",IF(LEFT(G61,1)="3","Celular","Fijo"))</f>
        <v>Celular</v>
      </c>
      <c r="I61" s="5" t="str">
        <f aca="false">IF(H61="Celular",HYPERLINK("https://wa.me/57"&amp;G61,"Abrir chat"),"")</f>
        <v>Abrir chat</v>
      </c>
      <c r="J61" s="2" t="s">
        <v>226</v>
      </c>
      <c r="K61" s="6" t="s">
        <v>25</v>
      </c>
      <c r="L61" s="7"/>
      <c r="M61" s="8" t="str">
        <f aca="false">IF(L61="","",L61+4)</f>
        <v/>
      </c>
      <c r="N61" s="6"/>
      <c r="O61" s="9" t="str">
        <f aca="false">IF(N61="","",INDEX(Planes!$B$4:$B$6,MATCH(N61,Planes!$A$4:$A$6,0)))</f>
        <v/>
      </c>
      <c r="P61" s="6" t="s">
        <v>192</v>
      </c>
      <c r="Q61" s="6"/>
      <c r="R61" s="2" t="s">
        <v>193</v>
      </c>
      <c r="S61" s="5" t="str">
        <f aca="false">HYPERLINK("https://directorio-empresas.einforma.co/informacion-empresa/atlantico-peruano-sas","Ver fuente")</f>
        <v>Ver fuente</v>
      </c>
    </row>
    <row r="62" customFormat="false" ht="15" hidden="false" customHeight="false" outlineLevel="0" collapsed="false">
      <c r="A62" s="2" t="n">
        <v>61</v>
      </c>
      <c r="B62" s="10" t="s">
        <v>188</v>
      </c>
      <c r="C62" s="2" t="s">
        <v>227</v>
      </c>
      <c r="D62" s="2" t="s">
        <v>59</v>
      </c>
      <c r="E62" s="2"/>
      <c r="F62" s="2" t="s">
        <v>228</v>
      </c>
      <c r="G62" s="4" t="s">
        <v>229</v>
      </c>
      <c r="H62" s="2" t="str">
        <f aca="false">IF(G62="","Sin número",IF(LEFT(G62,1)="3","Celular","Fijo"))</f>
        <v>Celular</v>
      </c>
      <c r="I62" s="5" t="str">
        <f aca="false">IF(H62="Celular",HYPERLINK("https://wa.me/57"&amp;G62,"Abrir chat"),"")</f>
        <v>Abrir chat</v>
      </c>
      <c r="J62" s="2"/>
      <c r="K62" s="6" t="s">
        <v>25</v>
      </c>
      <c r="L62" s="7"/>
      <c r="M62" s="8" t="str">
        <f aca="false">IF(L62="","",L62+4)</f>
        <v/>
      </c>
      <c r="N62" s="6"/>
      <c r="O62" s="9" t="str">
        <f aca="false">IF(N62="","",INDEX(Planes!$B$4:$B$6,MATCH(N62,Planes!$A$4:$A$6,0)))</f>
        <v/>
      </c>
      <c r="P62" s="6" t="s">
        <v>192</v>
      </c>
      <c r="Q62" s="6"/>
      <c r="R62" s="2" t="s">
        <v>193</v>
      </c>
      <c r="S62" s="5" t="str">
        <f aca="false">HYPERLINK("https://directorio-empresas.einforma.co/informacion-empresa/atlantico-peruano-sas","Ver fuente")</f>
        <v>Ver fuente</v>
      </c>
    </row>
    <row r="63" customFormat="false" ht="15" hidden="false" customHeight="false" outlineLevel="0" collapsed="false">
      <c r="A63" s="2" t="n">
        <v>62</v>
      </c>
      <c r="B63" s="10" t="s">
        <v>188</v>
      </c>
      <c r="C63" s="2" t="s">
        <v>230</v>
      </c>
      <c r="D63" s="2" t="s">
        <v>59</v>
      </c>
      <c r="E63" s="2" t="s">
        <v>64</v>
      </c>
      <c r="F63" s="2" t="s">
        <v>231</v>
      </c>
      <c r="G63" s="4" t="s">
        <v>232</v>
      </c>
      <c r="H63" s="2" t="str">
        <f aca="false">IF(G63="","Sin número",IF(LEFT(G63,1)="3","Celular","Fijo"))</f>
        <v>Celular</v>
      </c>
      <c r="I63" s="5" t="str">
        <f aca="false">IF(H63="Celular",HYPERLINK("https://wa.me/57"&amp;G63,"Abrir chat"),"")</f>
        <v>Abrir chat</v>
      </c>
      <c r="J63" s="2"/>
      <c r="K63" s="6" t="s">
        <v>25</v>
      </c>
      <c r="L63" s="7"/>
      <c r="M63" s="8" t="str">
        <f aca="false">IF(L63="","",L63+4)</f>
        <v/>
      </c>
      <c r="N63" s="6"/>
      <c r="O63" s="9" t="str">
        <f aca="false">IF(N63="","",INDEX(Planes!$B$4:$B$6,MATCH(N63,Planes!$A$4:$A$6,0)))</f>
        <v/>
      </c>
      <c r="P63" s="6" t="s">
        <v>26</v>
      </c>
      <c r="Q63" s="6"/>
      <c r="R63" s="2" t="s">
        <v>96</v>
      </c>
      <c r="S63" s="5" t="str">
        <f aca="false">HYPERLINK("https://medellinguru.com/laureles-with-domicilio/","Ver fuente")</f>
        <v>Ver fuente</v>
      </c>
    </row>
    <row r="64" customFormat="false" ht="15" hidden="false" customHeight="false" outlineLevel="0" collapsed="false">
      <c r="A64" s="2" t="n">
        <v>63</v>
      </c>
      <c r="B64" s="10" t="s">
        <v>188</v>
      </c>
      <c r="C64" s="2" t="s">
        <v>233</v>
      </c>
      <c r="D64" s="2" t="s">
        <v>59</v>
      </c>
      <c r="E64" s="2" t="s">
        <v>60</v>
      </c>
      <c r="F64" s="2" t="s">
        <v>2</v>
      </c>
      <c r="G64" s="4" t="s">
        <v>234</v>
      </c>
      <c r="H64" s="2" t="str">
        <f aca="false">IF(G64="","Sin número",IF(LEFT(G64,1)="3","Celular","Fijo"))</f>
        <v>Celular</v>
      </c>
      <c r="I64" s="5" t="str">
        <f aca="false">IF(H64="Celular",HYPERLINK("https://wa.me/57"&amp;G64,"Abrir chat"),"")</f>
        <v>Abrir chat</v>
      </c>
      <c r="J64" s="2" t="s">
        <v>235</v>
      </c>
      <c r="K64" s="6" t="s">
        <v>25</v>
      </c>
      <c r="L64" s="7"/>
      <c r="M64" s="8" t="str">
        <f aca="false">IF(L64="","",L64+4)</f>
        <v/>
      </c>
      <c r="N64" s="6"/>
      <c r="O64" s="9" t="str">
        <f aca="false">IF(N64="","",INDEX(Planes!$B$4:$B$6,MATCH(N64,Planes!$A$4:$A$6,0)))</f>
        <v/>
      </c>
      <c r="P64" s="6" t="s">
        <v>192</v>
      </c>
      <c r="Q64" s="6"/>
      <c r="R64" s="2" t="s">
        <v>193</v>
      </c>
      <c r="S64" s="5" t="str">
        <f aca="false">HYPERLINK("https://directorio-empresas.einforma.co/informacion-empresa/chapati-halal-sas","Ver fuente")</f>
        <v>Ver fuente</v>
      </c>
    </row>
    <row r="65" customFormat="false" ht="15" hidden="false" customHeight="false" outlineLevel="0" collapsed="false">
      <c r="A65" s="2" t="n">
        <v>64</v>
      </c>
      <c r="B65" s="10" t="s">
        <v>188</v>
      </c>
      <c r="C65" s="2" t="s">
        <v>236</v>
      </c>
      <c r="D65" s="2" t="s">
        <v>59</v>
      </c>
      <c r="E65" s="2" t="s">
        <v>60</v>
      </c>
      <c r="F65" s="2" t="s">
        <v>237</v>
      </c>
      <c r="G65" s="4" t="s">
        <v>238</v>
      </c>
      <c r="H65" s="2" t="str">
        <f aca="false">IF(G65="","Sin número",IF(LEFT(G65,1)="3","Celular","Fijo"))</f>
        <v>Celular</v>
      </c>
      <c r="I65" s="5" t="str">
        <f aca="false">IF(H65="Celular",HYPERLINK("https://wa.me/57"&amp;G65,"Abrir chat"),"")</f>
        <v>Abrir chat</v>
      </c>
      <c r="J65" s="2" t="s">
        <v>239</v>
      </c>
      <c r="K65" s="6" t="s">
        <v>25</v>
      </c>
      <c r="L65" s="7"/>
      <c r="M65" s="8" t="str">
        <f aca="false">IF(L65="","",L65+4)</f>
        <v/>
      </c>
      <c r="N65" s="6"/>
      <c r="O65" s="9" t="str">
        <f aca="false">IF(N65="","",INDEX(Planes!$B$4:$B$6,MATCH(N65,Planes!$A$4:$A$6,0)))</f>
        <v/>
      </c>
      <c r="P65" s="6" t="s">
        <v>192</v>
      </c>
      <c r="Q65" s="6"/>
      <c r="R65" s="2" t="s">
        <v>193</v>
      </c>
      <c r="S65" s="5" t="str">
        <f aca="false">HYPERLINK("https://www.informacolombia.com/directorio-empresas/informacion-empresa/roll-company-sas","Ver fuente")</f>
        <v>Ver fuente</v>
      </c>
    </row>
    <row r="66" customFormat="false" ht="15" hidden="false" customHeight="false" outlineLevel="0" collapsed="false">
      <c r="A66" s="2" t="n">
        <v>65</v>
      </c>
      <c r="B66" s="10" t="s">
        <v>188</v>
      </c>
      <c r="C66" s="2" t="s">
        <v>240</v>
      </c>
      <c r="D66" s="2" t="s">
        <v>59</v>
      </c>
      <c r="E66" s="2" t="s">
        <v>64</v>
      </c>
      <c r="F66" s="2" t="s">
        <v>118</v>
      </c>
      <c r="G66" s="4" t="s">
        <v>241</v>
      </c>
      <c r="H66" s="2" t="str">
        <f aca="false">IF(G66="","Sin número",IF(LEFT(G66,1)="3","Celular","Fijo"))</f>
        <v>Celular</v>
      </c>
      <c r="I66" s="5" t="str">
        <f aca="false">IF(H66="Celular",HYPERLINK("https://wa.me/57"&amp;G66,"Abrir chat"),"")</f>
        <v>Abrir chat</v>
      </c>
      <c r="J66" s="2" t="s">
        <v>242</v>
      </c>
      <c r="K66" s="6" t="s">
        <v>25</v>
      </c>
      <c r="L66" s="7"/>
      <c r="M66" s="8" t="str">
        <f aca="false">IF(L66="","",L66+4)</f>
        <v/>
      </c>
      <c r="N66" s="6"/>
      <c r="O66" s="9" t="str">
        <f aca="false">IF(N66="","",INDEX(Planes!$B$4:$B$6,MATCH(N66,Planes!$A$4:$A$6,0)))</f>
        <v/>
      </c>
      <c r="P66" s="6" t="s">
        <v>192</v>
      </c>
      <c r="Q66" s="6"/>
      <c r="R66" s="2" t="s">
        <v>193</v>
      </c>
      <c r="S66" s="5" t="str">
        <f aca="false">HYPERLINK("https://directorio-empresas.einforma.co/informacion-empresa/rey-parrillero-laureles-sas","Ver fuente")</f>
        <v>Ver fuente</v>
      </c>
    </row>
    <row r="67" customFormat="false" ht="15" hidden="false" customHeight="false" outlineLevel="0" collapsed="false">
      <c r="A67" s="2" t="n">
        <v>66</v>
      </c>
      <c r="B67" s="10" t="s">
        <v>188</v>
      </c>
      <c r="C67" s="2" t="s">
        <v>243</v>
      </c>
      <c r="D67" s="2" t="s">
        <v>59</v>
      </c>
      <c r="E67" s="2" t="s">
        <v>54</v>
      </c>
      <c r="F67" s="2" t="s">
        <v>70</v>
      </c>
      <c r="G67" s="4" t="s">
        <v>244</v>
      </c>
      <c r="H67" s="2" t="str">
        <f aca="false">IF(G67="","Sin número",IF(LEFT(G67,1)="3","Celular","Fijo"))</f>
        <v>Celular</v>
      </c>
      <c r="I67" s="5" t="str">
        <f aca="false">IF(H67="Celular",HYPERLINK("https://wa.me/57"&amp;G67,"Abrir chat"),"")</f>
        <v>Abrir chat</v>
      </c>
      <c r="J67" s="2" t="s">
        <v>245</v>
      </c>
      <c r="K67" s="6" t="s">
        <v>25</v>
      </c>
      <c r="L67" s="7"/>
      <c r="M67" s="8" t="str">
        <f aca="false">IF(L67="","",L67+4)</f>
        <v/>
      </c>
      <c r="N67" s="6"/>
      <c r="O67" s="9" t="str">
        <f aca="false">IF(N67="","",INDEX(Planes!$B$4:$B$6,MATCH(N67,Planes!$A$4:$A$6,0)))</f>
        <v/>
      </c>
      <c r="P67" s="6" t="s">
        <v>192</v>
      </c>
      <c r="Q67" s="6"/>
      <c r="R67" s="2" t="s">
        <v>193</v>
      </c>
      <c r="S67" s="5" t="str">
        <f aca="false">HYPERLINK("https://www.informacolombia.com/directorio-empresas/informacion-empresa/empanadas-calidosas-centro-sas","Ver fuente")</f>
        <v>Ver fuente</v>
      </c>
    </row>
    <row r="68" customFormat="false" ht="15" hidden="false" customHeight="false" outlineLevel="0" collapsed="false">
      <c r="A68" s="2" t="n">
        <v>67</v>
      </c>
      <c r="B68" s="10" t="s">
        <v>188</v>
      </c>
      <c r="C68" s="2" t="s">
        <v>246</v>
      </c>
      <c r="D68" s="2" t="s">
        <v>59</v>
      </c>
      <c r="E68" s="2" t="s">
        <v>60</v>
      </c>
      <c r="F68" s="2" t="s">
        <v>2</v>
      </c>
      <c r="G68" s="4" t="s">
        <v>247</v>
      </c>
      <c r="H68" s="2" t="str">
        <f aca="false">IF(G68="","Sin número",IF(LEFT(G68,1)="3","Celular","Fijo"))</f>
        <v>Celular</v>
      </c>
      <c r="I68" s="5" t="str">
        <f aca="false">IF(H68="Celular",HYPERLINK("https://wa.me/57"&amp;G68,"Abrir chat"),"")</f>
        <v>Abrir chat</v>
      </c>
      <c r="J68" s="2" t="s">
        <v>248</v>
      </c>
      <c r="K68" s="6" t="s">
        <v>25</v>
      </c>
      <c r="L68" s="7"/>
      <c r="M68" s="8" t="str">
        <f aca="false">IF(L68="","",L68+4)</f>
        <v/>
      </c>
      <c r="N68" s="6"/>
      <c r="O68" s="9" t="str">
        <f aca="false">IF(N68="","",INDEX(Planes!$B$4:$B$6,MATCH(N68,Planes!$A$4:$A$6,0)))</f>
        <v/>
      </c>
      <c r="P68" s="6" t="s">
        <v>192</v>
      </c>
      <c r="Q68" s="6"/>
      <c r="R68" s="2" t="s">
        <v>193</v>
      </c>
      <c r="S68" s="5" t="str">
        <f aca="false">HYPERLINK("https://www.informacolombia.com/directorio-empresas/informacion-empresa/hanami-sas","Ver fuente")</f>
        <v>Ver fuente</v>
      </c>
    </row>
    <row r="69" customFormat="false" ht="15" hidden="false" customHeight="false" outlineLevel="0" collapsed="false">
      <c r="A69" s="2" t="n">
        <v>68</v>
      </c>
      <c r="B69" s="10" t="s">
        <v>188</v>
      </c>
      <c r="C69" s="2" t="s">
        <v>249</v>
      </c>
      <c r="D69" s="2" t="s">
        <v>59</v>
      </c>
      <c r="E69" s="2"/>
      <c r="F69" s="2" t="s">
        <v>70</v>
      </c>
      <c r="G69" s="4" t="s">
        <v>250</v>
      </c>
      <c r="H69" s="2" t="str">
        <f aca="false">IF(G69="","Sin número",IF(LEFT(G69,1)="3","Celular","Fijo"))</f>
        <v>Celular</v>
      </c>
      <c r="I69" s="5" t="str">
        <f aca="false">IF(H69="Celular",HYPERLINK("https://wa.me/57"&amp;G69,"Abrir chat"),"")</f>
        <v>Abrir chat</v>
      </c>
      <c r="J69" s="2"/>
      <c r="K69" s="6" t="s">
        <v>25</v>
      </c>
      <c r="L69" s="7"/>
      <c r="M69" s="8" t="str">
        <f aca="false">IF(L69="","",L69+4)</f>
        <v/>
      </c>
      <c r="N69" s="6"/>
      <c r="O69" s="9" t="str">
        <f aca="false">IF(N69="","",INDEX(Planes!$B$4:$B$6,MATCH(N69,Planes!$A$4:$A$6,0)))</f>
        <v/>
      </c>
      <c r="P69" s="6" t="s">
        <v>192</v>
      </c>
      <c r="Q69" s="6"/>
      <c r="R69" s="2" t="s">
        <v>193</v>
      </c>
      <c r="S69" s="5" t="str">
        <f aca="false">HYPERLINK("https://www.informacolombia.com/directorio-empresas/actividad/5619_OTROS-TIPOS-DE-EXPENDIO-DE-COMIDAS-PREPARADAS-N-C-P/localidad_medellin","Ver fuente")</f>
        <v>Ver fuente</v>
      </c>
    </row>
    <row r="70" customFormat="false" ht="15" hidden="false" customHeight="false" outlineLevel="0" collapsed="false">
      <c r="A70" s="2" t="n">
        <v>69</v>
      </c>
      <c r="B70" s="10" t="s">
        <v>188</v>
      </c>
      <c r="C70" s="2" t="s">
        <v>251</v>
      </c>
      <c r="D70" s="2" t="s">
        <v>59</v>
      </c>
      <c r="E70" s="2"/>
      <c r="F70" s="2" t="s">
        <v>70</v>
      </c>
      <c r="G70" s="4" t="s">
        <v>252</v>
      </c>
      <c r="H70" s="2" t="str">
        <f aca="false">IF(G70="","Sin número",IF(LEFT(G70,1)="3","Celular","Fijo"))</f>
        <v>Celular</v>
      </c>
      <c r="I70" s="5" t="str">
        <f aca="false">IF(H70="Celular",HYPERLINK("https://wa.me/57"&amp;G70,"Abrir chat"),"")</f>
        <v>Abrir chat</v>
      </c>
      <c r="J70" s="2" t="s">
        <v>253</v>
      </c>
      <c r="K70" s="6" t="s">
        <v>25</v>
      </c>
      <c r="L70" s="7"/>
      <c r="M70" s="8" t="str">
        <f aca="false">IF(L70="","",L70+4)</f>
        <v/>
      </c>
      <c r="N70" s="6"/>
      <c r="O70" s="9" t="str">
        <f aca="false">IF(N70="","",INDEX(Planes!$B$4:$B$6,MATCH(N70,Planes!$A$4:$A$6,0)))</f>
        <v/>
      </c>
      <c r="P70" s="6" t="s">
        <v>192</v>
      </c>
      <c r="Q70" s="6"/>
      <c r="R70" s="2" t="s">
        <v>193</v>
      </c>
      <c r="S70" s="5" t="str">
        <f aca="false">HYPERLINK("https://www.informacolombia.com/directorio-empresas/informacion-empresa/jugosa-ltda","Ver fuente")</f>
        <v>Ver fuente</v>
      </c>
    </row>
    <row r="71" customFormat="false" ht="15" hidden="false" customHeight="false" outlineLevel="0" collapsed="false">
      <c r="A71" s="2" t="n">
        <v>70</v>
      </c>
      <c r="B71" s="10" t="s">
        <v>188</v>
      </c>
      <c r="C71" s="2" t="s">
        <v>254</v>
      </c>
      <c r="D71" s="2" t="s">
        <v>59</v>
      </c>
      <c r="E71" s="2"/>
      <c r="F71" s="2" t="s">
        <v>118</v>
      </c>
      <c r="G71" s="4" t="s">
        <v>255</v>
      </c>
      <c r="H71" s="2" t="str">
        <f aca="false">IF(G71="","Sin número",IF(LEFT(G71,1)="3","Celular","Fijo"))</f>
        <v>Celular</v>
      </c>
      <c r="I71" s="5" t="str">
        <f aca="false">IF(H71="Celular",HYPERLINK("https://wa.me/57"&amp;G71,"Abrir chat"),"")</f>
        <v>Abrir chat</v>
      </c>
      <c r="J71" s="2" t="s">
        <v>256</v>
      </c>
      <c r="K71" s="6" t="s">
        <v>25</v>
      </c>
      <c r="L71" s="7"/>
      <c r="M71" s="8" t="str">
        <f aca="false">IF(L71="","",L71+4)</f>
        <v/>
      </c>
      <c r="N71" s="6"/>
      <c r="O71" s="9" t="str">
        <f aca="false">IF(N71="","",INDEX(Planes!$B$4:$B$6,MATCH(N71,Planes!$A$4:$A$6,0)))</f>
        <v/>
      </c>
      <c r="P71" s="6" t="s">
        <v>192</v>
      </c>
      <c r="Q71" s="6"/>
      <c r="R71" s="2" t="s">
        <v>193</v>
      </c>
      <c r="S71" s="5" t="str">
        <f aca="false">HYPERLINK("https://directorio-empresas.einforma.co/informacion-empresa/asados-tipicos-carbon-sas","Ver fuente")</f>
        <v>Ver fuente</v>
      </c>
    </row>
    <row r="72" customFormat="false" ht="15" hidden="false" customHeight="false" outlineLevel="0" collapsed="false">
      <c r="A72" s="2" t="n">
        <v>71</v>
      </c>
      <c r="B72" s="10" t="s">
        <v>188</v>
      </c>
      <c r="C72" s="2" t="s">
        <v>257</v>
      </c>
      <c r="D72" s="2" t="s">
        <v>59</v>
      </c>
      <c r="E72" s="2"/>
      <c r="F72" s="2" t="s">
        <v>2</v>
      </c>
      <c r="G72" s="4" t="s">
        <v>258</v>
      </c>
      <c r="H72" s="2" t="str">
        <f aca="false">IF(G72="","Sin número",IF(LEFT(G72,1)="3","Celular","Fijo"))</f>
        <v>Celular</v>
      </c>
      <c r="I72" s="5" t="str">
        <f aca="false">IF(H72="Celular",HYPERLINK("https://wa.me/57"&amp;G72,"Abrir chat"),"")</f>
        <v>Abrir chat</v>
      </c>
      <c r="J72" s="2" t="s">
        <v>259</v>
      </c>
      <c r="K72" s="6" t="s">
        <v>25</v>
      </c>
      <c r="L72" s="7"/>
      <c r="M72" s="8" t="str">
        <f aca="false">IF(L72="","",L72+4)</f>
        <v/>
      </c>
      <c r="N72" s="6"/>
      <c r="O72" s="9" t="str">
        <f aca="false">IF(N72="","",INDEX(Planes!$B$4:$B$6,MATCH(N72,Planes!$A$4:$A$6,0)))</f>
        <v/>
      </c>
      <c r="P72" s="6" t="s">
        <v>192</v>
      </c>
      <c r="Q72" s="6"/>
      <c r="R72" s="2" t="s">
        <v>193</v>
      </c>
      <c r="S72" s="5" t="str">
        <f aca="false">HYPERLINK("https://www.informacolombia.com/directorio-empresas/informacion-empresa/casa-alimento-sas","Ver fuente")</f>
        <v>Ver fuente</v>
      </c>
    </row>
    <row r="73" customFormat="false" ht="15" hidden="false" customHeight="false" outlineLevel="0" collapsed="false">
      <c r="A73" s="2" t="n">
        <v>72</v>
      </c>
      <c r="B73" s="10" t="s">
        <v>188</v>
      </c>
      <c r="C73" s="2" t="s">
        <v>260</v>
      </c>
      <c r="D73" s="2" t="s">
        <v>59</v>
      </c>
      <c r="E73" s="2"/>
      <c r="F73" s="2" t="s">
        <v>2</v>
      </c>
      <c r="G73" s="4" t="s">
        <v>261</v>
      </c>
      <c r="H73" s="2" t="str">
        <f aca="false">IF(G73="","Sin número",IF(LEFT(G73,1)="3","Celular","Fijo"))</f>
        <v>Celular</v>
      </c>
      <c r="I73" s="5" t="str">
        <f aca="false">IF(H73="Celular",HYPERLINK("https://wa.me/57"&amp;G73,"Abrir chat"),"")</f>
        <v>Abrir chat</v>
      </c>
      <c r="J73" s="2"/>
      <c r="K73" s="6" t="s">
        <v>25</v>
      </c>
      <c r="L73" s="7"/>
      <c r="M73" s="8" t="str">
        <f aca="false">IF(L73="","",L73+4)</f>
        <v/>
      </c>
      <c r="N73" s="6"/>
      <c r="O73" s="9" t="str">
        <f aca="false">IF(N73="","",INDEX(Planes!$B$4:$B$6,MATCH(N73,Planes!$A$4:$A$6,0)))</f>
        <v/>
      </c>
      <c r="P73" s="6" t="s">
        <v>192</v>
      </c>
      <c r="Q73" s="6"/>
      <c r="R73" s="2" t="s">
        <v>193</v>
      </c>
      <c r="S73" s="5" t="str">
        <f aca="false">HYPERLINK("https://directorio-empresas.einforma.co/informacion-empresa/ribera-restaurante-sas","Ver fuente")</f>
        <v>Ver fuente</v>
      </c>
    </row>
    <row r="74" customFormat="false" ht="15" hidden="false" customHeight="false" outlineLevel="0" collapsed="false">
      <c r="A74" s="2" t="n">
        <v>73</v>
      </c>
      <c r="B74" s="10" t="s">
        <v>188</v>
      </c>
      <c r="C74" s="2" t="s">
        <v>262</v>
      </c>
      <c r="D74" s="2" t="s">
        <v>59</v>
      </c>
      <c r="E74" s="2" t="s">
        <v>64</v>
      </c>
      <c r="F74" s="2" t="s">
        <v>65</v>
      </c>
      <c r="G74" s="4" t="s">
        <v>263</v>
      </c>
      <c r="H74" s="2" t="str">
        <f aca="false">IF(G74="","Sin número",IF(LEFT(G74,1)="3","Celular","Fijo"))</f>
        <v>Celular</v>
      </c>
      <c r="I74" s="5" t="str">
        <f aca="false">IF(H74="Celular",HYPERLINK("https://wa.me/57"&amp;G74,"Abrir chat"),"")</f>
        <v>Abrir chat</v>
      </c>
      <c r="J74" s="2" t="s">
        <v>264</v>
      </c>
      <c r="K74" s="6" t="s">
        <v>25</v>
      </c>
      <c r="L74" s="7"/>
      <c r="M74" s="8" t="str">
        <f aca="false">IF(L74="","",L74+4)</f>
        <v/>
      </c>
      <c r="N74" s="6"/>
      <c r="O74" s="9" t="str">
        <f aca="false">IF(N74="","",INDEX(Planes!$B$4:$B$6,MATCH(N74,Planes!$A$4:$A$6,0)))</f>
        <v/>
      </c>
      <c r="P74" s="6" t="s">
        <v>192</v>
      </c>
      <c r="Q74" s="6"/>
      <c r="R74" s="2" t="s">
        <v>193</v>
      </c>
      <c r="S74" s="5" t="str">
        <f aca="false">HYPERLINK("https://directorio-empresas.einforma.co/informacion-empresa/chamos-arepas-venezolanas-algo-mas-sas","Ver fuente")</f>
        <v>Ver fuente</v>
      </c>
    </row>
    <row r="75" customFormat="false" ht="15" hidden="false" customHeight="false" outlineLevel="0" collapsed="false">
      <c r="A75" s="2" t="n">
        <v>74</v>
      </c>
      <c r="B75" s="10" t="s">
        <v>188</v>
      </c>
      <c r="C75" s="2" t="s">
        <v>265</v>
      </c>
      <c r="D75" s="2" t="s">
        <v>59</v>
      </c>
      <c r="E75" s="2" t="s">
        <v>64</v>
      </c>
      <c r="F75" s="2" t="s">
        <v>2</v>
      </c>
      <c r="G75" s="4" t="s">
        <v>266</v>
      </c>
      <c r="H75" s="2" t="str">
        <f aca="false">IF(G75="","Sin número",IF(LEFT(G75,1)="3","Celular","Fijo"))</f>
        <v>Celular</v>
      </c>
      <c r="I75" s="5" t="str">
        <f aca="false">IF(H75="Celular",HYPERLINK("https://wa.me/57"&amp;G75,"Abrir chat"),"")</f>
        <v>Abrir chat</v>
      </c>
      <c r="J75" s="2" t="s">
        <v>267</v>
      </c>
      <c r="K75" s="6" t="s">
        <v>25</v>
      </c>
      <c r="L75" s="7"/>
      <c r="M75" s="8" t="str">
        <f aca="false">IF(L75="","",L75+4)</f>
        <v/>
      </c>
      <c r="N75" s="6"/>
      <c r="O75" s="9" t="str">
        <f aca="false">IF(N75="","",INDEX(Planes!$B$4:$B$6,MATCH(N75,Planes!$A$4:$A$6,0)))</f>
        <v/>
      </c>
      <c r="P75" s="6" t="s">
        <v>192</v>
      </c>
      <c r="Q75" s="6"/>
      <c r="R75" s="2" t="s">
        <v>193</v>
      </c>
      <c r="S75" s="5" t="str">
        <f aca="false">HYPERLINK("https://www.informacolombia.com/directorio-empresas/informacion-empresa/love-restaurant-sas","Ver fuente")</f>
        <v>Ver fuente</v>
      </c>
    </row>
    <row r="76" customFormat="false" ht="15" hidden="false" customHeight="false" outlineLevel="0" collapsed="false">
      <c r="A76" s="2" t="n">
        <v>75</v>
      </c>
      <c r="B76" s="10" t="s">
        <v>188</v>
      </c>
      <c r="C76" s="2" t="s">
        <v>268</v>
      </c>
      <c r="D76" s="2" t="s">
        <v>59</v>
      </c>
      <c r="E76" s="2" t="s">
        <v>64</v>
      </c>
      <c r="F76" s="2" t="s">
        <v>2</v>
      </c>
      <c r="G76" s="4" t="s">
        <v>269</v>
      </c>
      <c r="H76" s="2" t="str">
        <f aca="false">IF(G76="","Sin número",IF(LEFT(G76,1)="3","Celular","Fijo"))</f>
        <v>Celular</v>
      </c>
      <c r="I76" s="5" t="str">
        <f aca="false">IF(H76="Celular",HYPERLINK("https://wa.me/57"&amp;G76,"Abrir chat"),"")</f>
        <v>Abrir chat</v>
      </c>
      <c r="J76" s="2" t="s">
        <v>270</v>
      </c>
      <c r="K76" s="6" t="s">
        <v>25</v>
      </c>
      <c r="L76" s="7"/>
      <c r="M76" s="8" t="str">
        <f aca="false">IF(L76="","",L76+4)</f>
        <v/>
      </c>
      <c r="N76" s="6"/>
      <c r="O76" s="9" t="str">
        <f aca="false">IF(N76="","",INDEX(Planes!$B$4:$B$6,MATCH(N76,Planes!$A$4:$A$6,0)))</f>
        <v/>
      </c>
      <c r="P76" s="6" t="s">
        <v>192</v>
      </c>
      <c r="Q76" s="6"/>
      <c r="R76" s="2" t="s">
        <v>193</v>
      </c>
      <c r="S76" s="5" t="str">
        <f aca="false">HYPERLINK("https://www.informacolombia.com/directorio-empresas/informacion-empresa/lu-mara-restaurante-sas","Ver fuente")</f>
        <v>Ver fuente</v>
      </c>
    </row>
    <row r="77" customFormat="false" ht="15" hidden="false" customHeight="false" outlineLevel="0" collapsed="false">
      <c r="A77" s="2" t="n">
        <v>76</v>
      </c>
      <c r="B77" s="10" t="s">
        <v>188</v>
      </c>
      <c r="C77" s="2" t="s">
        <v>271</v>
      </c>
      <c r="D77" s="2" t="s">
        <v>59</v>
      </c>
      <c r="E77" s="2" t="s">
        <v>64</v>
      </c>
      <c r="F77" s="2" t="s">
        <v>2</v>
      </c>
      <c r="G77" s="4" t="s">
        <v>272</v>
      </c>
      <c r="H77" s="2" t="str">
        <f aca="false">IF(G77="","Sin número",IF(LEFT(G77,1)="3","Celular","Fijo"))</f>
        <v>Celular</v>
      </c>
      <c r="I77" s="5" t="str">
        <f aca="false">IF(H77="Celular",HYPERLINK("https://wa.me/57"&amp;G77,"Abrir chat"),"")</f>
        <v>Abrir chat</v>
      </c>
      <c r="J77" s="2" t="s">
        <v>273</v>
      </c>
      <c r="K77" s="6" t="s">
        <v>25</v>
      </c>
      <c r="L77" s="7"/>
      <c r="M77" s="8" t="str">
        <f aca="false">IF(L77="","",L77+4)</f>
        <v/>
      </c>
      <c r="N77" s="6"/>
      <c r="O77" s="9" t="str">
        <f aca="false">IF(N77="","",INDEX(Planes!$B$4:$B$6,MATCH(N77,Planes!$A$4:$A$6,0)))</f>
        <v/>
      </c>
      <c r="P77" s="6" t="s">
        <v>192</v>
      </c>
      <c r="Q77" s="6"/>
      <c r="R77" s="2" t="s">
        <v>193</v>
      </c>
      <c r="S77" s="5" t="str">
        <f aca="false">HYPERLINK("https://www.informacolombia.com/directorio-empresas/informacion-empresa/makabro-salvaje-sas","Ver fuente")</f>
        <v>Ver fuente</v>
      </c>
    </row>
    <row r="78" customFormat="false" ht="15" hidden="false" customHeight="false" outlineLevel="0" collapsed="false">
      <c r="A78" s="2" t="n">
        <v>77</v>
      </c>
      <c r="B78" s="10" t="s">
        <v>188</v>
      </c>
      <c r="C78" s="2" t="s">
        <v>274</v>
      </c>
      <c r="D78" s="2" t="s">
        <v>59</v>
      </c>
      <c r="E78" s="2" t="s">
        <v>83</v>
      </c>
      <c r="F78" s="2" t="s">
        <v>275</v>
      </c>
      <c r="G78" s="4" t="s">
        <v>276</v>
      </c>
      <c r="H78" s="2" t="str">
        <f aca="false">IF(G78="","Sin número",IF(LEFT(G78,1)="3","Celular","Fijo"))</f>
        <v>Celular</v>
      </c>
      <c r="I78" s="5" t="str">
        <f aca="false">IF(H78="Celular",HYPERLINK("https://wa.me/57"&amp;G78,"Abrir chat"),"")</f>
        <v>Abrir chat</v>
      </c>
      <c r="J78" s="2" t="s">
        <v>277</v>
      </c>
      <c r="K78" s="6" t="s">
        <v>25</v>
      </c>
      <c r="L78" s="7"/>
      <c r="M78" s="8" t="str">
        <f aca="false">IF(L78="","",L78+4)</f>
        <v/>
      </c>
      <c r="N78" s="6"/>
      <c r="O78" s="9" t="str">
        <f aca="false">IF(N78="","",INDEX(Planes!$B$4:$B$6,MATCH(N78,Planes!$A$4:$A$6,0)))</f>
        <v/>
      </c>
      <c r="P78" s="6" t="s">
        <v>192</v>
      </c>
      <c r="Q78" s="6"/>
      <c r="R78" s="2" t="s">
        <v>193</v>
      </c>
      <c r="S78" s="5" t="str">
        <f aca="false">HYPERLINK("https://directorio-empresas.einforma.co/informacion-empresa/mondongos-colombia-sas","Ver fuente")</f>
        <v>Ver fuente</v>
      </c>
    </row>
    <row r="79" customFormat="false" ht="15" hidden="false" customHeight="false" outlineLevel="0" collapsed="false">
      <c r="A79" s="2" t="n">
        <v>78</v>
      </c>
      <c r="B79" s="10" t="s">
        <v>188</v>
      </c>
      <c r="C79" s="2" t="s">
        <v>278</v>
      </c>
      <c r="D79" s="2" t="s">
        <v>59</v>
      </c>
      <c r="E79" s="2" t="s">
        <v>64</v>
      </c>
      <c r="F79" s="2" t="s">
        <v>2</v>
      </c>
      <c r="G79" s="4" t="s">
        <v>279</v>
      </c>
      <c r="H79" s="2" t="str">
        <f aca="false">IF(G79="","Sin número",IF(LEFT(G79,1)="3","Celular","Fijo"))</f>
        <v>Celular</v>
      </c>
      <c r="I79" s="5" t="str">
        <f aca="false">IF(H79="Celular",HYPERLINK("https://wa.me/57"&amp;G79,"Abrir chat"),"")</f>
        <v>Abrir chat</v>
      </c>
      <c r="J79" s="2" t="s">
        <v>280</v>
      </c>
      <c r="K79" s="6" t="s">
        <v>25</v>
      </c>
      <c r="L79" s="7"/>
      <c r="M79" s="8" t="str">
        <f aca="false">IF(L79="","",L79+4)</f>
        <v/>
      </c>
      <c r="N79" s="6"/>
      <c r="O79" s="9" t="str">
        <f aca="false">IF(N79="","",INDEX(Planes!$B$4:$B$6,MATCH(N79,Planes!$A$4:$A$6,0)))</f>
        <v/>
      </c>
      <c r="P79" s="6" t="s">
        <v>192</v>
      </c>
      <c r="Q79" s="6"/>
      <c r="R79" s="2" t="s">
        <v>193</v>
      </c>
      <c r="S79" s="5" t="str">
        <f aca="false">HYPERLINK("https://www.informacolombia.com/directorio-empresas/informacion-empresa/3-sibaritas-sas","Ver fuente")</f>
        <v>Ver fuente</v>
      </c>
    </row>
    <row r="80" customFormat="false" ht="15" hidden="false" customHeight="false" outlineLevel="0" collapsed="false">
      <c r="A80" s="2" t="n">
        <v>79</v>
      </c>
      <c r="B80" s="10" t="s">
        <v>188</v>
      </c>
      <c r="C80" s="2" t="s">
        <v>281</v>
      </c>
      <c r="D80" s="2" t="s">
        <v>59</v>
      </c>
      <c r="E80" s="2"/>
      <c r="F80" s="2" t="s">
        <v>2</v>
      </c>
      <c r="G80" s="4" t="s">
        <v>282</v>
      </c>
      <c r="H80" s="2" t="str">
        <f aca="false">IF(G80="","Sin número",IF(LEFT(G80,1)="3","Celular","Fijo"))</f>
        <v>Celular</v>
      </c>
      <c r="I80" s="5" t="str">
        <f aca="false">IF(H80="Celular",HYPERLINK("https://wa.me/57"&amp;G80,"Abrir chat"),"")</f>
        <v>Abrir chat</v>
      </c>
      <c r="J80" s="2"/>
      <c r="K80" s="6" t="s">
        <v>25</v>
      </c>
      <c r="L80" s="7"/>
      <c r="M80" s="8" t="str">
        <f aca="false">IF(L80="","",L80+4)</f>
        <v/>
      </c>
      <c r="N80" s="6"/>
      <c r="O80" s="9" t="str">
        <f aca="false">IF(N80="","",INDEX(Planes!$B$4:$B$6,MATCH(N80,Planes!$A$4:$A$6,0)))</f>
        <v/>
      </c>
      <c r="P80" s="6" t="s">
        <v>192</v>
      </c>
      <c r="Q80" s="6"/>
      <c r="R80" s="2" t="s">
        <v>193</v>
      </c>
      <c r="S80" s="5" t="str">
        <f aca="false">HYPERLINK("https://www.informacolombia.com/directorio-empresas/actividad/560_ACTIVIDADES-DE-SERVICIOS-DE-COMIDAS-Y-BEBIDAS","Ver fuente")</f>
        <v>Ver fuente</v>
      </c>
    </row>
    <row r="81" customFormat="false" ht="15" hidden="false" customHeight="false" outlineLevel="0" collapsed="false">
      <c r="A81" s="2" t="n">
        <v>80</v>
      </c>
      <c r="B81" s="10" t="s">
        <v>188</v>
      </c>
      <c r="C81" s="2" t="s">
        <v>283</v>
      </c>
      <c r="D81" s="2" t="s">
        <v>59</v>
      </c>
      <c r="E81" s="2" t="s">
        <v>60</v>
      </c>
      <c r="F81" s="2" t="s">
        <v>2</v>
      </c>
      <c r="G81" s="4" t="s">
        <v>284</v>
      </c>
      <c r="H81" s="2" t="str">
        <f aca="false">IF(G81="","Sin número",IF(LEFT(G81,1)="3","Celular","Fijo"))</f>
        <v>Celular</v>
      </c>
      <c r="I81" s="5" t="str">
        <f aca="false">IF(H81="Celular",HYPERLINK("https://wa.me/57"&amp;G81,"Abrir chat"),"")</f>
        <v>Abrir chat</v>
      </c>
      <c r="J81" s="2" t="s">
        <v>285</v>
      </c>
      <c r="K81" s="6" t="s">
        <v>25</v>
      </c>
      <c r="L81" s="7"/>
      <c r="M81" s="8" t="str">
        <f aca="false">IF(L81="","",L81+4)</f>
        <v/>
      </c>
      <c r="N81" s="6"/>
      <c r="O81" s="9" t="str">
        <f aca="false">IF(N81="","",INDEX(Planes!$B$4:$B$6,MATCH(N81,Planes!$A$4:$A$6,0)))</f>
        <v/>
      </c>
      <c r="P81" s="6" t="s">
        <v>192</v>
      </c>
      <c r="Q81" s="6"/>
      <c r="R81" s="2" t="s">
        <v>193</v>
      </c>
      <c r="S81" s="5" t="str">
        <f aca="false">HYPERLINK("https://directorio-empresas.einforma.co/informacion-empresa/niku-cartagena-sas","Ver fuente")</f>
        <v>Ver fuente</v>
      </c>
    </row>
    <row r="82" customFormat="false" ht="15" hidden="false" customHeight="false" outlineLevel="0" collapsed="false">
      <c r="A82" s="2" t="n">
        <v>81</v>
      </c>
      <c r="B82" s="10" t="s">
        <v>188</v>
      </c>
      <c r="C82" s="2" t="s">
        <v>286</v>
      </c>
      <c r="D82" s="2" t="s">
        <v>59</v>
      </c>
      <c r="E82" s="2"/>
      <c r="F82" s="2" t="s">
        <v>70</v>
      </c>
      <c r="G82" s="4" t="s">
        <v>287</v>
      </c>
      <c r="H82" s="2" t="str">
        <f aca="false">IF(G82="","Sin número",IF(LEFT(G82,1)="3","Celular","Fijo"))</f>
        <v>Celular</v>
      </c>
      <c r="I82" s="5" t="str">
        <f aca="false">IF(H82="Celular",HYPERLINK("https://wa.me/57"&amp;G82,"Abrir chat"),"")</f>
        <v>Abrir chat</v>
      </c>
      <c r="J82" s="2" t="s">
        <v>288</v>
      </c>
      <c r="K82" s="6" t="s">
        <v>25</v>
      </c>
      <c r="L82" s="7"/>
      <c r="M82" s="8" t="str">
        <f aca="false">IF(L82="","",L82+4)</f>
        <v/>
      </c>
      <c r="N82" s="6"/>
      <c r="O82" s="9" t="str">
        <f aca="false">IF(N82="","",INDEX(Planes!$B$4:$B$6,MATCH(N82,Planes!$A$4:$A$6,0)))</f>
        <v/>
      </c>
      <c r="P82" s="6" t="s">
        <v>192</v>
      </c>
      <c r="Q82" s="6"/>
      <c r="R82" s="2" t="s">
        <v>193</v>
      </c>
      <c r="S82" s="5" t="str">
        <f aca="false">HYPERLINK("https://www.informacolombia.com/directorio-empresas/informacion-empresa/office-burger-family-sas","Ver fuente")</f>
        <v>Ver fuente</v>
      </c>
    </row>
    <row r="83" customFormat="false" ht="15" hidden="false" customHeight="false" outlineLevel="0" collapsed="false">
      <c r="A83" s="2" t="n">
        <v>82</v>
      </c>
      <c r="B83" s="10" t="s">
        <v>188</v>
      </c>
      <c r="C83" s="2" t="s">
        <v>289</v>
      </c>
      <c r="D83" s="2" t="s">
        <v>59</v>
      </c>
      <c r="E83" s="2" t="s">
        <v>60</v>
      </c>
      <c r="F83" s="2" t="s">
        <v>290</v>
      </c>
      <c r="G83" s="4" t="s">
        <v>291</v>
      </c>
      <c r="H83" s="2" t="str">
        <f aca="false">IF(G83="","Sin número",IF(LEFT(G83,1)="3","Celular","Fijo"))</f>
        <v>Celular</v>
      </c>
      <c r="I83" s="5" t="str">
        <f aca="false">IF(H83="Celular",HYPERLINK("https://wa.me/57"&amp;G83,"Abrir chat"),"")</f>
        <v>Abrir chat</v>
      </c>
      <c r="J83" s="2" t="s">
        <v>292</v>
      </c>
      <c r="K83" s="6" t="s">
        <v>25</v>
      </c>
      <c r="L83" s="7"/>
      <c r="M83" s="8" t="str">
        <f aca="false">IF(L83="","",L83+4)</f>
        <v/>
      </c>
      <c r="N83" s="6"/>
      <c r="O83" s="9" t="str">
        <f aca="false">IF(N83="","",INDEX(Planes!$B$4:$B$6,MATCH(N83,Planes!$A$4:$A$6,0)))</f>
        <v/>
      </c>
      <c r="P83" s="6" t="s">
        <v>26</v>
      </c>
      <c r="Q83" s="6"/>
      <c r="R83" s="2" t="s">
        <v>27</v>
      </c>
      <c r="S83" s="5" t="str">
        <f aca="false">HYPERLINK("https://ojala-brunch-2.ola.click/","Ver fuente")</f>
        <v>Ver fuente</v>
      </c>
    </row>
    <row r="84" customFormat="false" ht="15" hidden="false" customHeight="false" outlineLevel="0" collapsed="false">
      <c r="A84" s="2" t="n">
        <v>83</v>
      </c>
      <c r="B84" s="10" t="s">
        <v>188</v>
      </c>
      <c r="C84" s="2" t="s">
        <v>293</v>
      </c>
      <c r="D84" s="2" t="s">
        <v>59</v>
      </c>
      <c r="E84" s="2" t="s">
        <v>60</v>
      </c>
      <c r="F84" s="2" t="s">
        <v>2</v>
      </c>
      <c r="G84" s="4" t="s">
        <v>294</v>
      </c>
      <c r="H84" s="2" t="str">
        <f aca="false">IF(G84="","Sin número",IF(LEFT(G84,1)="3","Celular","Fijo"))</f>
        <v>Celular</v>
      </c>
      <c r="I84" s="5" t="str">
        <f aca="false">IF(H84="Celular",HYPERLINK("https://wa.me/57"&amp;G84,"Abrir chat"),"")</f>
        <v>Abrir chat</v>
      </c>
      <c r="J84" s="2" t="s">
        <v>295</v>
      </c>
      <c r="K84" s="6" t="s">
        <v>25</v>
      </c>
      <c r="L84" s="7"/>
      <c r="M84" s="8" t="str">
        <f aca="false">IF(L84="","",L84+4)</f>
        <v/>
      </c>
      <c r="N84" s="6"/>
      <c r="O84" s="9" t="str">
        <f aca="false">IF(N84="","",INDEX(Planes!$B$4:$B$6,MATCH(N84,Planes!$A$4:$A$6,0)))</f>
        <v/>
      </c>
      <c r="P84" s="6" t="s">
        <v>192</v>
      </c>
      <c r="Q84" s="6"/>
      <c r="R84" s="2" t="s">
        <v>193</v>
      </c>
      <c r="S84" s="5" t="str">
        <f aca="false">HYPERLINK("https://directorio-empresas.einforma.co/informacion-empresa/oni-medellin-sas","Ver fuente")</f>
        <v>Ver fuente</v>
      </c>
    </row>
    <row r="85" customFormat="false" ht="15" hidden="false" customHeight="false" outlineLevel="0" collapsed="false">
      <c r="A85" s="2" t="n">
        <v>84</v>
      </c>
      <c r="B85" s="10" t="s">
        <v>188</v>
      </c>
      <c r="C85" s="2" t="s">
        <v>296</v>
      </c>
      <c r="D85" s="2" t="s">
        <v>59</v>
      </c>
      <c r="E85" s="2"/>
      <c r="F85" s="2" t="s">
        <v>2</v>
      </c>
      <c r="G85" s="4" t="s">
        <v>297</v>
      </c>
      <c r="H85" s="2" t="str">
        <f aca="false">IF(G85="","Sin número",IF(LEFT(G85,1)="3","Celular","Fijo"))</f>
        <v>Celular</v>
      </c>
      <c r="I85" s="5" t="str">
        <f aca="false">IF(H85="Celular",HYPERLINK("https://wa.me/57"&amp;G85,"Abrir chat"),"")</f>
        <v>Abrir chat</v>
      </c>
      <c r="J85" s="2" t="s">
        <v>298</v>
      </c>
      <c r="K85" s="6" t="s">
        <v>25</v>
      </c>
      <c r="L85" s="7"/>
      <c r="M85" s="8" t="str">
        <f aca="false">IF(L85="","",L85+4)</f>
        <v/>
      </c>
      <c r="N85" s="6"/>
      <c r="O85" s="9" t="str">
        <f aca="false">IF(N85="","",INDEX(Planes!$B$4:$B$6,MATCH(N85,Planes!$A$4:$A$6,0)))</f>
        <v/>
      </c>
      <c r="P85" s="6" t="s">
        <v>192</v>
      </c>
      <c r="Q85" s="6"/>
      <c r="R85" s="2" t="s">
        <v>193</v>
      </c>
      <c r="S85" s="5" t="str">
        <f aca="false">HYPERLINK("https://www.informacolombia.com/directorio-empresas/informacion-empresa/operamos-restaurantes-sas","Ver fuente")</f>
        <v>Ver fuente</v>
      </c>
    </row>
    <row r="86" customFormat="false" ht="15" hidden="false" customHeight="false" outlineLevel="0" collapsed="false">
      <c r="A86" s="2" t="n">
        <v>85</v>
      </c>
      <c r="B86" s="10" t="s">
        <v>188</v>
      </c>
      <c r="C86" s="2" t="s">
        <v>299</v>
      </c>
      <c r="D86" s="2" t="s">
        <v>59</v>
      </c>
      <c r="E86" s="2"/>
      <c r="F86" s="2" t="s">
        <v>2</v>
      </c>
      <c r="G86" s="4" t="s">
        <v>300</v>
      </c>
      <c r="H86" s="2" t="str">
        <f aca="false">IF(G86="","Sin número",IF(LEFT(G86,1)="3","Celular","Fijo"))</f>
        <v>Celular</v>
      </c>
      <c r="I86" s="5" t="str">
        <f aca="false">IF(H86="Celular",HYPERLINK("https://wa.me/57"&amp;G86,"Abrir chat"),"")</f>
        <v>Abrir chat</v>
      </c>
      <c r="J86" s="2" t="s">
        <v>301</v>
      </c>
      <c r="K86" s="6" t="s">
        <v>25</v>
      </c>
      <c r="L86" s="7"/>
      <c r="M86" s="8" t="str">
        <f aca="false">IF(L86="","",L86+4)</f>
        <v/>
      </c>
      <c r="N86" s="6"/>
      <c r="O86" s="9" t="str">
        <f aca="false">IF(N86="","",INDEX(Planes!$B$4:$B$6,MATCH(N86,Planes!$A$4:$A$6,0)))</f>
        <v/>
      </c>
      <c r="P86" s="6" t="s">
        <v>192</v>
      </c>
      <c r="Q86" s="6"/>
      <c r="R86" s="2" t="s">
        <v>193</v>
      </c>
      <c r="S86" s="5" t="str">
        <f aca="false">HYPERLINK("https://www.informacolombia.com/directorio-empresas/informacion-empresa/opulencia-sas","Ver fuente")</f>
        <v>Ver fuente</v>
      </c>
    </row>
    <row r="87" customFormat="false" ht="15" hidden="false" customHeight="false" outlineLevel="0" collapsed="false">
      <c r="A87" s="2" t="n">
        <v>86</v>
      </c>
      <c r="B87" s="10" t="s">
        <v>188</v>
      </c>
      <c r="C87" s="2" t="s">
        <v>302</v>
      </c>
      <c r="D87" s="2" t="s">
        <v>59</v>
      </c>
      <c r="E87" s="2"/>
      <c r="F87" s="2" t="s">
        <v>179</v>
      </c>
      <c r="G87" s="4" t="s">
        <v>303</v>
      </c>
      <c r="H87" s="2" t="str">
        <f aca="false">IF(G87="","Sin número",IF(LEFT(G87,1)="3","Celular","Fijo"))</f>
        <v>Celular</v>
      </c>
      <c r="I87" s="5" t="str">
        <f aca="false">IF(H87="Celular",HYPERLINK("https://wa.me/57"&amp;G87,"Abrir chat"),"")</f>
        <v>Abrir chat</v>
      </c>
      <c r="J87" s="2"/>
      <c r="K87" s="6" t="s">
        <v>25</v>
      </c>
      <c r="L87" s="7"/>
      <c r="M87" s="8" t="str">
        <f aca="false">IF(L87="","",L87+4)</f>
        <v/>
      </c>
      <c r="N87" s="6"/>
      <c r="O87" s="9" t="str">
        <f aca="false">IF(N87="","",INDEX(Planes!$B$4:$B$6,MATCH(N87,Planes!$A$4:$A$6,0)))</f>
        <v/>
      </c>
      <c r="P87" s="6" t="s">
        <v>192</v>
      </c>
      <c r="Q87" s="6"/>
      <c r="R87" s="2" t="s">
        <v>193</v>
      </c>
      <c r="S87" s="5" t="str">
        <f aca="false">HYPERLINK("https://www.informacolombia.com/directorio-empresas/actividad/I_ALOJAMIENTO-Y-SERVICIOS-DE-COMIDA/localidad_medellin","Ver fuente")</f>
        <v>Ver fuente</v>
      </c>
    </row>
    <row r="88" customFormat="false" ht="15" hidden="false" customHeight="false" outlineLevel="0" collapsed="false">
      <c r="A88" s="2" t="n">
        <v>87</v>
      </c>
      <c r="B88" s="10" t="s">
        <v>188</v>
      </c>
      <c r="C88" s="2" t="s">
        <v>304</v>
      </c>
      <c r="D88" s="2" t="s">
        <v>59</v>
      </c>
      <c r="E88" s="2"/>
      <c r="F88" s="2" t="s">
        <v>111</v>
      </c>
      <c r="G88" s="4" t="s">
        <v>305</v>
      </c>
      <c r="H88" s="2" t="str">
        <f aca="false">IF(G88="","Sin número",IF(LEFT(G88,1)="3","Celular","Fijo"))</f>
        <v>Celular</v>
      </c>
      <c r="I88" s="5" t="str">
        <f aca="false">IF(H88="Celular",HYPERLINK("https://wa.me/57"&amp;G88,"Abrir chat"),"")</f>
        <v>Abrir chat</v>
      </c>
      <c r="J88" s="2" t="s">
        <v>306</v>
      </c>
      <c r="K88" s="6" t="s">
        <v>25</v>
      </c>
      <c r="L88" s="7"/>
      <c r="M88" s="8" t="str">
        <f aca="false">IF(L88="","",L88+4)</f>
        <v/>
      </c>
      <c r="N88" s="6"/>
      <c r="O88" s="9" t="str">
        <f aca="false">IF(N88="","",INDEX(Planes!$B$4:$B$6,MATCH(N88,Planes!$A$4:$A$6,0)))</f>
        <v/>
      </c>
      <c r="P88" s="6" t="s">
        <v>192</v>
      </c>
      <c r="Q88" s="6"/>
      <c r="R88" s="2" t="s">
        <v>193</v>
      </c>
      <c r="S88" s="5" t="str">
        <f aca="false">HYPERLINK("https://www.informacolombia.com/directorio-empresas/informacion-empresa/pizzaiolo-colombia-sas","Ver fuente")</f>
        <v>Ver fuente</v>
      </c>
    </row>
    <row r="89" customFormat="false" ht="15" hidden="false" customHeight="false" outlineLevel="0" collapsed="false">
      <c r="A89" s="2" t="n">
        <v>88</v>
      </c>
      <c r="B89" s="10" t="s">
        <v>188</v>
      </c>
      <c r="C89" s="2" t="s">
        <v>307</v>
      </c>
      <c r="D89" s="2" t="s">
        <v>59</v>
      </c>
      <c r="E89" s="2"/>
      <c r="F89" s="2" t="s">
        <v>111</v>
      </c>
      <c r="G89" s="4" t="s">
        <v>308</v>
      </c>
      <c r="H89" s="2" t="str">
        <f aca="false">IF(G89="","Sin número",IF(LEFT(G89,1)="3","Celular","Fijo"))</f>
        <v>Celular</v>
      </c>
      <c r="I89" s="5" t="str">
        <f aca="false">IF(H89="Celular",HYPERLINK("https://wa.me/57"&amp;G89,"Abrir chat"),"")</f>
        <v>Abrir chat</v>
      </c>
      <c r="J89" s="2" t="s">
        <v>309</v>
      </c>
      <c r="K89" s="6" t="s">
        <v>25</v>
      </c>
      <c r="L89" s="7"/>
      <c r="M89" s="8" t="str">
        <f aca="false">IF(L89="","",L89+4)</f>
        <v/>
      </c>
      <c r="N89" s="6"/>
      <c r="O89" s="9" t="str">
        <f aca="false">IF(N89="","",INDEX(Planes!$B$4:$B$6,MATCH(N89,Planes!$A$4:$A$6,0)))</f>
        <v/>
      </c>
      <c r="P89" s="6" t="s">
        <v>192</v>
      </c>
      <c r="Q89" s="6"/>
      <c r="R89" s="2" t="s">
        <v>193</v>
      </c>
      <c r="S89" s="5" t="str">
        <f aca="false">HYPERLINK("https://directorio-empresas.einforma.co/informacion-empresa/pizzalas-ac-sas","Ver fuente")</f>
        <v>Ver fuente</v>
      </c>
    </row>
    <row r="90" customFormat="false" ht="15" hidden="false" customHeight="false" outlineLevel="0" collapsed="false">
      <c r="A90" s="2" t="n">
        <v>89</v>
      </c>
      <c r="B90" s="10" t="s">
        <v>188</v>
      </c>
      <c r="C90" s="2" t="s">
        <v>310</v>
      </c>
      <c r="D90" s="2" t="s">
        <v>59</v>
      </c>
      <c r="E90" s="2" t="s">
        <v>311</v>
      </c>
      <c r="F90" s="2" t="s">
        <v>74</v>
      </c>
      <c r="G90" s="4" t="s">
        <v>312</v>
      </c>
      <c r="H90" s="2" t="str">
        <f aca="false">IF(G90="","Sin número",IF(LEFT(G90,1)="3","Celular","Fijo"))</f>
        <v>Celular</v>
      </c>
      <c r="I90" s="5" t="str">
        <f aca="false">IF(H90="Celular",HYPERLINK("https://wa.me/57"&amp;G90,"Abrir chat"),"")</f>
        <v>Abrir chat</v>
      </c>
      <c r="J90" s="2" t="s">
        <v>313</v>
      </c>
      <c r="K90" s="6" t="s">
        <v>25</v>
      </c>
      <c r="L90" s="7"/>
      <c r="M90" s="8" t="str">
        <f aca="false">IF(L90="","",L90+4)</f>
        <v/>
      </c>
      <c r="N90" s="6"/>
      <c r="O90" s="9" t="str">
        <f aca="false">IF(N90="","",INDEX(Planes!$B$4:$B$6,MATCH(N90,Planes!$A$4:$A$6,0)))</f>
        <v/>
      </c>
      <c r="P90" s="6" t="s">
        <v>192</v>
      </c>
      <c r="Q90" s="6"/>
      <c r="R90" s="2" t="s">
        <v>193</v>
      </c>
      <c r="S90" s="5" t="str">
        <f aca="false">HYPERLINK("https://www.informacolombia.com/directorio-empresas/informacion-empresa/pollos-brasa-mario-america-44-sas","Ver fuente")</f>
        <v>Ver fuente</v>
      </c>
    </row>
    <row r="91" customFormat="false" ht="15" hidden="false" customHeight="false" outlineLevel="0" collapsed="false">
      <c r="A91" s="2" t="n">
        <v>90</v>
      </c>
      <c r="B91" s="10" t="s">
        <v>188</v>
      </c>
      <c r="C91" s="2" t="s">
        <v>314</v>
      </c>
      <c r="D91" s="2" t="s">
        <v>59</v>
      </c>
      <c r="E91" s="2" t="s">
        <v>315</v>
      </c>
      <c r="F91" s="2" t="s">
        <v>316</v>
      </c>
      <c r="G91" s="4" t="s">
        <v>317</v>
      </c>
      <c r="H91" s="2" t="str">
        <f aca="false">IF(G91="","Sin número",IF(LEFT(G91,1)="3","Celular","Fijo"))</f>
        <v>Celular</v>
      </c>
      <c r="I91" s="5" t="str">
        <f aca="false">IF(H91="Celular",HYPERLINK("https://wa.me/57"&amp;G91,"Abrir chat"),"")</f>
        <v>Abrir chat</v>
      </c>
      <c r="J91" s="2" t="s">
        <v>318</v>
      </c>
      <c r="K91" s="6" t="s">
        <v>25</v>
      </c>
      <c r="L91" s="7"/>
      <c r="M91" s="8" t="str">
        <f aca="false">IF(L91="","",L91+4)</f>
        <v/>
      </c>
      <c r="N91" s="6"/>
      <c r="O91" s="9" t="str">
        <f aca="false">IF(N91="","",INDEX(Planes!$B$4:$B$6,MATCH(N91,Planes!$A$4:$A$6,0)))</f>
        <v/>
      </c>
      <c r="P91" s="6" t="s">
        <v>26</v>
      </c>
      <c r="Q91" s="6"/>
      <c r="R91" s="2" t="s">
        <v>27</v>
      </c>
      <c r="S91" s="5" t="str">
        <f aca="false">HYPERLINK("https://qhubole.ola.click/","Ver fuente")</f>
        <v>Ver fuente</v>
      </c>
    </row>
    <row r="92" customFormat="false" ht="15" hidden="false" customHeight="false" outlineLevel="0" collapsed="false">
      <c r="A92" s="2" t="n">
        <v>91</v>
      </c>
      <c r="B92" s="10" t="s">
        <v>188</v>
      </c>
      <c r="C92" s="2" t="s">
        <v>319</v>
      </c>
      <c r="D92" s="2" t="s">
        <v>59</v>
      </c>
      <c r="E92" s="2"/>
      <c r="F92" s="2" t="s">
        <v>320</v>
      </c>
      <c r="G92" s="4" t="s">
        <v>321</v>
      </c>
      <c r="H92" s="2" t="str">
        <f aca="false">IF(G92="","Sin número",IF(LEFT(G92,1)="3","Celular","Fijo"))</f>
        <v>Celular</v>
      </c>
      <c r="I92" s="5" t="str">
        <f aca="false">IF(H92="Celular",HYPERLINK("https://wa.me/57"&amp;G92,"Abrir chat"),"")</f>
        <v>Abrir chat</v>
      </c>
      <c r="J92" s="2" t="s">
        <v>322</v>
      </c>
      <c r="K92" s="6" t="s">
        <v>25</v>
      </c>
      <c r="L92" s="7"/>
      <c r="M92" s="8" t="str">
        <f aca="false">IF(L92="","",L92+4)</f>
        <v/>
      </c>
      <c r="N92" s="6"/>
      <c r="O92" s="9" t="str">
        <f aca="false">IF(N92="","",INDEX(Planes!$B$4:$B$6,MATCH(N92,Planes!$A$4:$A$6,0)))</f>
        <v/>
      </c>
      <c r="P92" s="6" t="s">
        <v>192</v>
      </c>
      <c r="Q92" s="6"/>
      <c r="R92" s="2" t="s">
        <v>193</v>
      </c>
      <c r="S92" s="5" t="str">
        <f aca="false">HYPERLINK("https://www.informacolombia.com/directorio-empresas/informacion-empresa/restaurante-chino-shenlong-sas","Ver fuente")</f>
        <v>Ver fuente</v>
      </c>
    </row>
    <row r="93" customFormat="false" ht="15" hidden="false" customHeight="false" outlineLevel="0" collapsed="false">
      <c r="A93" s="2" t="n">
        <v>92</v>
      </c>
      <c r="B93" s="10" t="s">
        <v>188</v>
      </c>
      <c r="C93" s="2" t="s">
        <v>323</v>
      </c>
      <c r="D93" s="2" t="s">
        <v>59</v>
      </c>
      <c r="E93" s="2"/>
      <c r="F93" s="2" t="s">
        <v>320</v>
      </c>
      <c r="G93" s="4" t="s">
        <v>324</v>
      </c>
      <c r="H93" s="2" t="str">
        <f aca="false">IF(G93="","Sin número",IF(LEFT(G93,1)="3","Celular","Fijo"))</f>
        <v>Celular</v>
      </c>
      <c r="I93" s="5" t="str">
        <f aca="false">IF(H93="Celular",HYPERLINK("https://wa.me/57"&amp;G93,"Abrir chat"),"")</f>
        <v>Abrir chat</v>
      </c>
      <c r="J93" s="2" t="s">
        <v>325</v>
      </c>
      <c r="K93" s="6" t="s">
        <v>25</v>
      </c>
      <c r="L93" s="7"/>
      <c r="M93" s="8" t="str">
        <f aca="false">IF(L93="","",L93+4)</f>
        <v/>
      </c>
      <c r="N93" s="6"/>
      <c r="O93" s="9" t="str">
        <f aca="false">IF(N93="","",INDEX(Planes!$B$4:$B$6,MATCH(N93,Planes!$A$4:$A$6,0)))</f>
        <v/>
      </c>
      <c r="P93" s="6" t="s">
        <v>192</v>
      </c>
      <c r="Q93" s="6"/>
      <c r="R93" s="2" t="s">
        <v>193</v>
      </c>
      <c r="S93" s="5" t="str">
        <f aca="false">HYPERLINK("https://www.informacolombia.com/directorio-empresas/informacion-empresa/restaurante-gran-ching-hong-yun-sas","Ver fuente")</f>
        <v>Ver fuente</v>
      </c>
    </row>
    <row r="94" customFormat="false" ht="15" hidden="false" customHeight="false" outlineLevel="0" collapsed="false">
      <c r="A94" s="2" t="n">
        <v>93</v>
      </c>
      <c r="B94" s="10" t="s">
        <v>188</v>
      </c>
      <c r="C94" s="2" t="s">
        <v>326</v>
      </c>
      <c r="D94" s="2" t="s">
        <v>59</v>
      </c>
      <c r="E94" s="2" t="s">
        <v>117</v>
      </c>
      <c r="F94" s="2" t="s">
        <v>2</v>
      </c>
      <c r="G94" s="4" t="s">
        <v>327</v>
      </c>
      <c r="H94" s="2" t="str">
        <f aca="false">IF(G94="","Sin número",IF(LEFT(G94,1)="3","Celular","Fijo"))</f>
        <v>Celular</v>
      </c>
      <c r="I94" s="5" t="str">
        <f aca="false">IF(H94="Celular",HYPERLINK("https://wa.me/57"&amp;G94,"Abrir chat"),"")</f>
        <v>Abrir chat</v>
      </c>
      <c r="J94" s="2" t="s">
        <v>328</v>
      </c>
      <c r="K94" s="6" t="s">
        <v>25</v>
      </c>
      <c r="L94" s="7"/>
      <c r="M94" s="8" t="str">
        <f aca="false">IF(L94="","",L94+4)</f>
        <v/>
      </c>
      <c r="N94" s="6"/>
      <c r="O94" s="9" t="str">
        <f aca="false">IF(N94="","",INDEX(Planes!$B$4:$B$6,MATCH(N94,Planes!$A$4:$A$6,0)))</f>
        <v/>
      </c>
      <c r="P94" s="6" t="s">
        <v>192</v>
      </c>
      <c r="Q94" s="6"/>
      <c r="R94" s="2" t="s">
        <v>193</v>
      </c>
      <c r="S94" s="5" t="str">
        <f aca="false">HYPERLINK("https://www.informacolombia.com/directorio-empresas/informacion-empresa/restaurante-panas-sas","Ver fuente")</f>
        <v>Ver fuente</v>
      </c>
    </row>
    <row r="95" customFormat="false" ht="15" hidden="false" customHeight="false" outlineLevel="0" collapsed="false">
      <c r="A95" s="2" t="n">
        <v>94</v>
      </c>
      <c r="B95" s="10" t="s">
        <v>188</v>
      </c>
      <c r="C95" s="2" t="s">
        <v>329</v>
      </c>
      <c r="D95" s="2" t="s">
        <v>59</v>
      </c>
      <c r="E95" s="2" t="s">
        <v>64</v>
      </c>
      <c r="F95" s="2" t="s">
        <v>330</v>
      </c>
      <c r="G95" s="4" t="s">
        <v>331</v>
      </c>
      <c r="H95" s="2" t="str">
        <f aca="false">IF(G95="","Sin número",IF(LEFT(G95,1)="3","Celular","Fijo"))</f>
        <v>Celular</v>
      </c>
      <c r="I95" s="5" t="str">
        <f aca="false">IF(H95="Celular",HYPERLINK("https://wa.me/57"&amp;G95,"Abrir chat"),"")</f>
        <v>Abrir chat</v>
      </c>
      <c r="J95" s="2"/>
      <c r="K95" s="6" t="s">
        <v>25</v>
      </c>
      <c r="L95" s="7"/>
      <c r="M95" s="8" t="str">
        <f aca="false">IF(L95="","",L95+4)</f>
        <v/>
      </c>
      <c r="N95" s="6"/>
      <c r="O95" s="9" t="str">
        <f aca="false">IF(N95="","",INDEX(Planes!$B$4:$B$6,MATCH(N95,Planes!$A$4:$A$6,0)))</f>
        <v/>
      </c>
      <c r="P95" s="6" t="s">
        <v>26</v>
      </c>
      <c r="Q95" s="6"/>
      <c r="R95" s="2" t="s">
        <v>96</v>
      </c>
      <c r="S95" s="5" t="str">
        <f aca="false">HYPERLINK("https://medellinguru.com/laureles-with-domicilio/","Ver fuente")</f>
        <v>Ver fuente</v>
      </c>
    </row>
    <row r="96" customFormat="false" ht="15" hidden="false" customHeight="false" outlineLevel="0" collapsed="false">
      <c r="A96" s="2" t="n">
        <v>95</v>
      </c>
      <c r="B96" s="10" t="s">
        <v>188</v>
      </c>
      <c r="C96" s="2" t="s">
        <v>332</v>
      </c>
      <c r="D96" s="2" t="s">
        <v>59</v>
      </c>
      <c r="E96" s="2" t="s">
        <v>60</v>
      </c>
      <c r="F96" s="2" t="s">
        <v>333</v>
      </c>
      <c r="G96" s="4" t="s">
        <v>334</v>
      </c>
      <c r="H96" s="2" t="str">
        <f aca="false">IF(G96="","Sin número",IF(LEFT(G96,1)="3","Celular","Fijo"))</f>
        <v>Celular</v>
      </c>
      <c r="I96" s="5" t="str">
        <f aca="false">IF(H96="Celular",HYPERLINK("https://wa.me/57"&amp;G96,"Abrir chat"),"")</f>
        <v>Abrir chat</v>
      </c>
      <c r="J96" s="2" t="s">
        <v>335</v>
      </c>
      <c r="K96" s="6" t="s">
        <v>25</v>
      </c>
      <c r="L96" s="7"/>
      <c r="M96" s="8" t="str">
        <f aca="false">IF(L96="","",L96+4)</f>
        <v/>
      </c>
      <c r="N96" s="6"/>
      <c r="O96" s="9" t="str">
        <f aca="false">IF(N96="","",INDEX(Planes!$B$4:$B$6,MATCH(N96,Planes!$A$4:$A$6,0)))</f>
        <v/>
      </c>
      <c r="P96" s="6" t="s">
        <v>192</v>
      </c>
      <c r="Q96" s="6"/>
      <c r="R96" s="2" t="s">
        <v>193</v>
      </c>
      <c r="S96" s="5" t="str">
        <f aca="false">HYPERLINK("https://directorio-empresas.einforma.co/informacion-empresa/taco-house-mexican-grill-sas","Ver fuente")</f>
        <v>Ver fuente</v>
      </c>
    </row>
    <row r="97" customFormat="false" ht="15" hidden="false" customHeight="false" outlineLevel="0" collapsed="false">
      <c r="A97" s="2" t="n">
        <v>96</v>
      </c>
      <c r="B97" s="10" t="s">
        <v>188</v>
      </c>
      <c r="C97" s="2" t="s">
        <v>336</v>
      </c>
      <c r="D97" s="2" t="s">
        <v>59</v>
      </c>
      <c r="E97" s="2"/>
      <c r="F97" s="2" t="s">
        <v>70</v>
      </c>
      <c r="G97" s="4" t="s">
        <v>337</v>
      </c>
      <c r="H97" s="2" t="str">
        <f aca="false">IF(G97="","Sin número",IF(LEFT(G97,1)="3","Celular","Fijo"))</f>
        <v>Celular</v>
      </c>
      <c r="I97" s="5" t="str">
        <f aca="false">IF(H97="Celular",HYPERLINK("https://wa.me/57"&amp;G97,"Abrir chat"),"")</f>
        <v>Abrir chat</v>
      </c>
      <c r="J97" s="2" t="s">
        <v>338</v>
      </c>
      <c r="K97" s="6" t="s">
        <v>25</v>
      </c>
      <c r="L97" s="7"/>
      <c r="M97" s="8" t="str">
        <f aca="false">IF(L97="","",L97+4)</f>
        <v/>
      </c>
      <c r="N97" s="6"/>
      <c r="O97" s="9" t="str">
        <f aca="false">IF(N97="","",INDEX(Planes!$B$4:$B$6,MATCH(N97,Planes!$A$4:$A$6,0)))</f>
        <v/>
      </c>
      <c r="P97" s="6" t="s">
        <v>192</v>
      </c>
      <c r="Q97" s="6"/>
      <c r="R97" s="2" t="s">
        <v>193</v>
      </c>
      <c r="S97" s="5" t="str">
        <f aca="false">HYPERLINK("https://www.informacolombia.com/directorio-empresas/informacion-empresa/w-fuego-burger-inversiones-sas","Ver fuente")</f>
        <v>Ver fuente</v>
      </c>
    </row>
    <row r="98" customFormat="false" ht="15" hidden="false" customHeight="false" outlineLevel="0" collapsed="false">
      <c r="A98" s="2" t="n">
        <v>97</v>
      </c>
      <c r="B98" s="10" t="s">
        <v>188</v>
      </c>
      <c r="C98" s="2" t="s">
        <v>339</v>
      </c>
      <c r="D98" s="2" t="s">
        <v>59</v>
      </c>
      <c r="E98" s="2"/>
      <c r="F98" s="2" t="s">
        <v>340</v>
      </c>
      <c r="G98" s="4" t="s">
        <v>341</v>
      </c>
      <c r="H98" s="2" t="str">
        <f aca="false">IF(G98="","Sin número",IF(LEFT(G98,1)="3","Celular","Fijo"))</f>
        <v>Celular</v>
      </c>
      <c r="I98" s="5" t="str">
        <f aca="false">IF(H98="Celular",HYPERLINK("https://wa.me/57"&amp;G98,"Abrir chat"),"")</f>
        <v>Abrir chat</v>
      </c>
      <c r="J98" s="2"/>
      <c r="K98" s="6" t="s">
        <v>25</v>
      </c>
      <c r="L98" s="7"/>
      <c r="M98" s="8" t="str">
        <f aca="false">IF(L98="","",L98+4)</f>
        <v/>
      </c>
      <c r="N98" s="6"/>
      <c r="O98" s="9" t="str">
        <f aca="false">IF(N98="","",INDEX(Planes!$B$4:$B$6,MATCH(N98,Planes!$A$4:$A$6,0)))</f>
        <v/>
      </c>
      <c r="P98" s="6" t="s">
        <v>26</v>
      </c>
      <c r="Q98" s="6"/>
      <c r="R98" s="2" t="s">
        <v>342</v>
      </c>
      <c r="S98" s="5" t="str">
        <f aca="false">HYPERLINK("https://medellinguru.com/zacatecas/","Ver fuente")</f>
        <v>Ver fuente</v>
      </c>
    </row>
    <row r="99" customFormat="false" ht="15" hidden="false" customHeight="false" outlineLevel="0" collapsed="false">
      <c r="A99" s="2" t="n">
        <v>98</v>
      </c>
      <c r="B99" s="11" t="s">
        <v>343</v>
      </c>
      <c r="C99" s="2" t="s">
        <v>344</v>
      </c>
      <c r="D99" s="2" t="s">
        <v>21</v>
      </c>
      <c r="E99" s="2"/>
      <c r="F99" s="2" t="s">
        <v>345</v>
      </c>
      <c r="G99" s="4" t="s">
        <v>346</v>
      </c>
      <c r="H99" s="2" t="str">
        <f aca="false">IF(G99="","Sin número",IF(LEFT(G99,1)="3","Celular","Fijo"))</f>
        <v>Celular</v>
      </c>
      <c r="I99" s="5" t="str">
        <f aca="false">IF(H99="Celular",HYPERLINK("https://wa.me/57"&amp;G99,"Abrir chat"),"")</f>
        <v>Abrir chat</v>
      </c>
      <c r="J99" s="2"/>
      <c r="K99" s="6" t="s">
        <v>25</v>
      </c>
      <c r="L99" s="7"/>
      <c r="M99" s="8" t="str">
        <f aca="false">IF(L99="","",L99+4)</f>
        <v/>
      </c>
      <c r="N99" s="6"/>
      <c r="O99" s="9" t="str">
        <f aca="false">IF(N99="","",INDEX(Planes!$B$4:$B$6,MATCH(N99,Planes!$A$4:$A$6,0)))</f>
        <v/>
      </c>
      <c r="P99" s="6" t="s">
        <v>192</v>
      </c>
      <c r="Q99" s="6"/>
      <c r="R99" s="2" t="s">
        <v>193</v>
      </c>
      <c r="S99" s="5" t="str">
        <f aca="false">HYPERLINK("https://www.informacolombia.com/directorio-empresas/actividad/560_ACTIVIDADES-DE-SERVICIOS-DE-COMIDAS-Y-BEBIDAS/localidad_bello?qPg=2","Ver fuente")</f>
        <v>Ver fuente</v>
      </c>
    </row>
    <row r="100" customFormat="false" ht="15" hidden="false" customHeight="false" outlineLevel="0" collapsed="false">
      <c r="A100" s="2" t="n">
        <v>99</v>
      </c>
      <c r="B100" s="11" t="s">
        <v>343</v>
      </c>
      <c r="C100" s="2" t="s">
        <v>347</v>
      </c>
      <c r="D100" s="2" t="s">
        <v>21</v>
      </c>
      <c r="E100" s="2"/>
      <c r="F100" s="2" t="s">
        <v>348</v>
      </c>
      <c r="G100" s="4" t="s">
        <v>349</v>
      </c>
      <c r="H100" s="2" t="str">
        <f aca="false">IF(G100="","Sin número",IF(LEFT(G100,1)="3","Celular","Fijo"))</f>
        <v>Celular</v>
      </c>
      <c r="I100" s="5" t="str">
        <f aca="false">IF(H100="Celular",HYPERLINK("https://wa.me/57"&amp;G100,"Abrir chat"),"")</f>
        <v>Abrir chat</v>
      </c>
      <c r="J100" s="2"/>
      <c r="K100" s="6" t="s">
        <v>25</v>
      </c>
      <c r="L100" s="7"/>
      <c r="M100" s="8" t="str">
        <f aca="false">IF(L100="","",L100+4)</f>
        <v/>
      </c>
      <c r="N100" s="6"/>
      <c r="O100" s="9" t="str">
        <f aca="false">IF(N100="","",INDEX(Planes!$B$4:$B$6,MATCH(N100,Planes!$A$4:$A$6,0)))</f>
        <v/>
      </c>
      <c r="P100" s="6" t="s">
        <v>192</v>
      </c>
      <c r="Q100" s="6"/>
      <c r="R100" s="2" t="s">
        <v>193</v>
      </c>
      <c r="S100" s="5" t="str">
        <f aca="false">HYPERLINK("https://www.informacolombia.com/directorio-empresas/actividad/560_ACTIVIDADES-DE-SERVICIOS-DE-COMIDAS-Y-BEBIDAS/localidad_bello?qPg=2","Ver fuente")</f>
        <v>Ver fuente</v>
      </c>
    </row>
    <row r="101" customFormat="false" ht="15" hidden="false" customHeight="false" outlineLevel="0" collapsed="false">
      <c r="A101" s="2" t="n">
        <v>100</v>
      </c>
      <c r="B101" s="11" t="s">
        <v>343</v>
      </c>
      <c r="C101" s="2" t="s">
        <v>350</v>
      </c>
      <c r="D101" s="2" t="s">
        <v>21</v>
      </c>
      <c r="E101" s="2"/>
      <c r="F101" s="2" t="s">
        <v>351</v>
      </c>
      <c r="G101" s="4" t="s">
        <v>352</v>
      </c>
      <c r="H101" s="2" t="str">
        <f aca="false">IF(G101="","Sin número",IF(LEFT(G101,1)="3","Celular","Fijo"))</f>
        <v>Celular</v>
      </c>
      <c r="I101" s="5" t="str">
        <f aca="false">IF(H101="Celular",HYPERLINK("https://wa.me/57"&amp;G101,"Abrir chat"),"")</f>
        <v>Abrir chat</v>
      </c>
      <c r="J101" s="2" t="s">
        <v>353</v>
      </c>
      <c r="K101" s="6" t="s">
        <v>25</v>
      </c>
      <c r="L101" s="7"/>
      <c r="M101" s="8" t="str">
        <f aca="false">IF(L101="","",L101+4)</f>
        <v/>
      </c>
      <c r="N101" s="6"/>
      <c r="O101" s="9" t="str">
        <f aca="false">IF(N101="","",INDEX(Planes!$B$4:$B$6,MATCH(N101,Planes!$A$4:$A$6,0)))</f>
        <v/>
      </c>
      <c r="P101" s="6" t="s">
        <v>192</v>
      </c>
      <c r="Q101" s="6"/>
      <c r="R101" s="2" t="s">
        <v>193</v>
      </c>
      <c r="S101" s="5" t="str">
        <f aca="false">HYPERLINK("https://directorio-empresas.einforma.co/informacion-empresa/dkche-servicios-alimenticios-sas","Ver fuente")</f>
        <v>Ver fuente</v>
      </c>
    </row>
    <row r="102" customFormat="false" ht="15" hidden="false" customHeight="false" outlineLevel="0" collapsed="false">
      <c r="A102" s="2" t="n">
        <v>101</v>
      </c>
      <c r="B102" s="11" t="s">
        <v>343</v>
      </c>
      <c r="C102" s="2" t="s">
        <v>354</v>
      </c>
      <c r="D102" s="2" t="s">
        <v>21</v>
      </c>
      <c r="E102" s="2"/>
      <c r="F102" s="2" t="s">
        <v>351</v>
      </c>
      <c r="G102" s="4" t="s">
        <v>355</v>
      </c>
      <c r="H102" s="2" t="str">
        <f aca="false">IF(G102="","Sin número",IF(LEFT(G102,1)="3","Celular","Fijo"))</f>
        <v>Celular</v>
      </c>
      <c r="I102" s="5" t="str">
        <f aca="false">IF(H102="Celular",HYPERLINK("https://wa.me/57"&amp;G102,"Abrir chat"),"")</f>
        <v>Abrir chat</v>
      </c>
      <c r="J102" s="2" t="s">
        <v>356</v>
      </c>
      <c r="K102" s="6" t="s">
        <v>25</v>
      </c>
      <c r="L102" s="7"/>
      <c r="M102" s="8" t="str">
        <f aca="false">IF(L102="","",L102+4)</f>
        <v/>
      </c>
      <c r="N102" s="6"/>
      <c r="O102" s="9" t="str">
        <f aca="false">IF(N102="","",INDEX(Planes!$B$4:$B$6,MATCH(N102,Planes!$A$4:$A$6,0)))</f>
        <v/>
      </c>
      <c r="P102" s="6" t="s">
        <v>192</v>
      </c>
      <c r="Q102" s="6"/>
      <c r="R102" s="2" t="s">
        <v>193</v>
      </c>
      <c r="S102" s="5" t="str">
        <f aca="false">HYPERLINK("https://www.informacolombia.com/directorio-empresas/informacion-empresa/eatsy-sas","Ver fuente")</f>
        <v>Ver fuente</v>
      </c>
    </row>
    <row r="103" customFormat="false" ht="15" hidden="false" customHeight="false" outlineLevel="0" collapsed="false">
      <c r="A103" s="2" t="n">
        <v>102</v>
      </c>
      <c r="B103" s="11" t="s">
        <v>343</v>
      </c>
      <c r="C103" s="2" t="s">
        <v>357</v>
      </c>
      <c r="D103" s="2" t="s">
        <v>21</v>
      </c>
      <c r="E103" s="2"/>
      <c r="F103" s="2" t="s">
        <v>358</v>
      </c>
      <c r="G103" s="4" t="s">
        <v>359</v>
      </c>
      <c r="H103" s="2" t="str">
        <f aca="false">IF(G103="","Sin número",IF(LEFT(G103,1)="3","Celular","Fijo"))</f>
        <v>Fijo</v>
      </c>
      <c r="I103" s="5" t="str">
        <f aca="false">IF(H103="Celular",HYPERLINK("https://wa.me/57"&amp;G103,"Abrir chat"),"")</f>
        <v/>
      </c>
      <c r="J103" s="2" t="s">
        <v>356</v>
      </c>
      <c r="K103" s="6" t="s">
        <v>25</v>
      </c>
      <c r="L103" s="7"/>
      <c r="M103" s="8" t="str">
        <f aca="false">IF(L103="","",L103+4)</f>
        <v/>
      </c>
      <c r="N103" s="6"/>
      <c r="O103" s="9" t="str">
        <f aca="false">IF(N103="","",INDEX(Planes!$B$4:$B$6,MATCH(N103,Planes!$A$4:$A$6,0)))</f>
        <v/>
      </c>
      <c r="P103" s="6" t="s">
        <v>360</v>
      </c>
      <c r="Q103" s="6"/>
      <c r="R103" s="2" t="s">
        <v>193</v>
      </c>
      <c r="S103" s="5" t="str">
        <f aca="false">HYPERLINK("https://www.informacolombia.com/directorio-empresas/informacion-empresa/inversiones-nancy-restrepo-sas","Ver fuente")</f>
        <v>Ver fuente</v>
      </c>
    </row>
    <row r="104" customFormat="false" ht="15" hidden="false" customHeight="false" outlineLevel="0" collapsed="false">
      <c r="A104" s="2" t="n">
        <v>103</v>
      </c>
      <c r="B104" s="11" t="s">
        <v>343</v>
      </c>
      <c r="C104" s="2" t="s">
        <v>361</v>
      </c>
      <c r="D104" s="2" t="s">
        <v>21</v>
      </c>
      <c r="E104" s="2"/>
      <c r="F104" s="2" t="s">
        <v>316</v>
      </c>
      <c r="G104" s="4" t="s">
        <v>362</v>
      </c>
      <c r="H104" s="2" t="str">
        <f aca="false">IF(G104="","Sin número",IF(LEFT(G104,1)="3","Celular","Fijo"))</f>
        <v>Fijo</v>
      </c>
      <c r="I104" s="5" t="str">
        <f aca="false">IF(H104="Celular",HYPERLINK("https://wa.me/57"&amp;G104,"Abrir chat"),"")</f>
        <v/>
      </c>
      <c r="J104" s="2" t="s">
        <v>363</v>
      </c>
      <c r="K104" s="6" t="s">
        <v>25</v>
      </c>
      <c r="L104" s="7"/>
      <c r="M104" s="8" t="str">
        <f aca="false">IF(L104="","",L104+4)</f>
        <v/>
      </c>
      <c r="N104" s="6"/>
      <c r="O104" s="9" t="str">
        <f aca="false">IF(N104="","",INDEX(Planes!$B$4:$B$6,MATCH(N104,Planes!$A$4:$A$6,0)))</f>
        <v/>
      </c>
      <c r="P104" s="6" t="s">
        <v>360</v>
      </c>
      <c r="Q104" s="6"/>
      <c r="R104" s="2" t="s">
        <v>193</v>
      </c>
      <c r="S104" s="5" t="str">
        <f aca="false">HYPERLINK("https://www.informacolombia.com/directorio-empresas/informacion-empresa/mi-lechoncito-restaurante-bar-sas","Ver fuente")</f>
        <v>Ver fuente</v>
      </c>
    </row>
    <row r="105" customFormat="false" ht="15" hidden="false" customHeight="false" outlineLevel="0" collapsed="false">
      <c r="A105" s="2" t="n">
        <v>104</v>
      </c>
      <c r="B105" s="11" t="s">
        <v>343</v>
      </c>
      <c r="C105" s="2" t="s">
        <v>364</v>
      </c>
      <c r="D105" s="2" t="s">
        <v>21</v>
      </c>
      <c r="E105" s="2"/>
      <c r="F105" s="2" t="s">
        <v>2</v>
      </c>
      <c r="G105" s="4" t="s">
        <v>365</v>
      </c>
      <c r="H105" s="2" t="str">
        <f aca="false">IF(G105="","Sin número",IF(LEFT(G105,1)="3","Celular","Fijo"))</f>
        <v>Fijo</v>
      </c>
      <c r="I105" s="5" t="str">
        <f aca="false">IF(H105="Celular",HYPERLINK("https://wa.me/57"&amp;G105,"Abrir chat"),"")</f>
        <v/>
      </c>
      <c r="J105" s="2" t="s">
        <v>366</v>
      </c>
      <c r="K105" s="6" t="s">
        <v>25</v>
      </c>
      <c r="L105" s="7"/>
      <c r="M105" s="8" t="str">
        <f aca="false">IF(L105="","",L105+4)</f>
        <v/>
      </c>
      <c r="N105" s="6"/>
      <c r="O105" s="9" t="str">
        <f aca="false">IF(N105="","",INDEX(Planes!$B$4:$B$6,MATCH(N105,Planes!$A$4:$A$6,0)))</f>
        <v/>
      </c>
      <c r="P105" s="6" t="s">
        <v>360</v>
      </c>
      <c r="Q105" s="6"/>
      <c r="R105" s="2" t="s">
        <v>193</v>
      </c>
      <c r="S105" s="5" t="str">
        <f aca="false">HYPERLINK("https://www.informacolombia.com/directorio-empresas/informacion-empresa/raices-sabor-vida-sas","Ver fuente")</f>
        <v>Ver fuente</v>
      </c>
    </row>
    <row r="106" customFormat="false" ht="15" hidden="false" customHeight="false" outlineLevel="0" collapsed="false">
      <c r="A106" s="2" t="n">
        <v>105</v>
      </c>
      <c r="B106" s="11" t="s">
        <v>343</v>
      </c>
      <c r="C106" s="2" t="s">
        <v>367</v>
      </c>
      <c r="D106" s="2" t="s">
        <v>21</v>
      </c>
      <c r="E106" s="2"/>
      <c r="F106" s="2" t="s">
        <v>316</v>
      </c>
      <c r="G106" s="4" t="s">
        <v>368</v>
      </c>
      <c r="H106" s="2" t="str">
        <f aca="false">IF(G106="","Sin número",IF(LEFT(G106,1)="3","Celular","Fijo"))</f>
        <v>Celular</v>
      </c>
      <c r="I106" s="5" t="str">
        <f aca="false">IF(H106="Celular",HYPERLINK("https://wa.me/57"&amp;G106,"Abrir chat"),"")</f>
        <v>Abrir chat</v>
      </c>
      <c r="J106" s="2" t="s">
        <v>369</v>
      </c>
      <c r="K106" s="6" t="s">
        <v>25</v>
      </c>
      <c r="L106" s="7"/>
      <c r="M106" s="8" t="str">
        <f aca="false">IF(L106="","",L106+4)</f>
        <v/>
      </c>
      <c r="N106" s="6"/>
      <c r="O106" s="9" t="str">
        <f aca="false">IF(N106="","",INDEX(Planes!$B$4:$B$6,MATCH(N106,Planes!$A$4:$A$6,0)))</f>
        <v/>
      </c>
      <c r="P106" s="6" t="s">
        <v>192</v>
      </c>
      <c r="Q106" s="6"/>
      <c r="R106" s="2" t="s">
        <v>193</v>
      </c>
      <c r="S106" s="5" t="str">
        <f aca="false">HYPERLINK("https://directorio-empresas.einforma.co/informacion-empresa/restaurante-bar-mula-paisa-sas","Ver fuente")</f>
        <v>Ver fuente</v>
      </c>
    </row>
    <row r="107" customFormat="false" ht="15" hidden="false" customHeight="false" outlineLevel="0" collapsed="false">
      <c r="A107" s="2" t="n">
        <v>106</v>
      </c>
      <c r="B107" s="11" t="s">
        <v>343</v>
      </c>
      <c r="C107" s="2" t="s">
        <v>370</v>
      </c>
      <c r="D107" s="2" t="s">
        <v>21</v>
      </c>
      <c r="E107" s="2"/>
      <c r="F107" s="2" t="s">
        <v>2</v>
      </c>
      <c r="G107" s="4" t="s">
        <v>371</v>
      </c>
      <c r="H107" s="2" t="str">
        <f aca="false">IF(G107="","Sin número",IF(LEFT(G107,1)="3","Celular","Fijo"))</f>
        <v>Fijo</v>
      </c>
      <c r="I107" s="5" t="str">
        <f aca="false">IF(H107="Celular",HYPERLINK("https://wa.me/57"&amp;G107,"Abrir chat"),"")</f>
        <v/>
      </c>
      <c r="J107" s="2" t="s">
        <v>372</v>
      </c>
      <c r="K107" s="6" t="s">
        <v>25</v>
      </c>
      <c r="L107" s="7"/>
      <c r="M107" s="8" t="str">
        <f aca="false">IF(L107="","",L107+4)</f>
        <v/>
      </c>
      <c r="N107" s="6"/>
      <c r="O107" s="9" t="str">
        <f aca="false">IF(N107="","",INDEX(Planes!$B$4:$B$6,MATCH(N107,Planes!$A$4:$A$6,0)))</f>
        <v/>
      </c>
      <c r="P107" s="6" t="s">
        <v>360</v>
      </c>
      <c r="Q107" s="6"/>
      <c r="R107" s="2" t="s">
        <v>193</v>
      </c>
      <c r="S107" s="5" t="str">
        <f aca="false">HYPERLINK("https://www.informacolombia.com/directorio-empresas/informacion-empresa/restaurante-rancho-grande-bello-sas","Ver fuente")</f>
        <v>Ver fuente</v>
      </c>
    </row>
    <row r="108" customFormat="false" ht="15" hidden="false" customHeight="false" outlineLevel="0" collapsed="false">
      <c r="A108" s="2" t="n">
        <v>107</v>
      </c>
      <c r="B108" s="11" t="s">
        <v>343</v>
      </c>
      <c r="C108" s="2" t="s">
        <v>373</v>
      </c>
      <c r="D108" s="2" t="s">
        <v>59</v>
      </c>
      <c r="E108" s="2" t="s">
        <v>60</v>
      </c>
      <c r="F108" s="2" t="s">
        <v>2</v>
      </c>
      <c r="G108" s="4" t="s">
        <v>374</v>
      </c>
      <c r="H108" s="2" t="str">
        <f aca="false">IF(G108="","Sin número",IF(LEFT(G108,1)="3","Celular","Fijo"))</f>
        <v>Fijo</v>
      </c>
      <c r="I108" s="5" t="str">
        <f aca="false">IF(H108="Celular",HYPERLINK("https://wa.me/57"&amp;G108,"Abrir chat"),"")</f>
        <v/>
      </c>
      <c r="J108" s="2" t="s">
        <v>375</v>
      </c>
      <c r="K108" s="6" t="s">
        <v>25</v>
      </c>
      <c r="L108" s="7"/>
      <c r="M108" s="8" t="str">
        <f aca="false">IF(L108="","",L108+4)</f>
        <v/>
      </c>
      <c r="N108" s="6"/>
      <c r="O108" s="9" t="str">
        <f aca="false">IF(N108="","",INDEX(Planes!$B$4:$B$6,MATCH(N108,Planes!$A$4:$A$6,0)))</f>
        <v/>
      </c>
      <c r="P108" s="6" t="s">
        <v>360</v>
      </c>
      <c r="Q108" s="6"/>
      <c r="R108" s="2" t="s">
        <v>193</v>
      </c>
      <c r="S108" s="5" t="str">
        <f aca="false">HYPERLINK("https://www.informacolombia.com/directorio-empresas/informacion-empresa/afm-sas","Ver fuente")</f>
        <v>Ver fuente</v>
      </c>
    </row>
    <row r="109" customFormat="false" ht="15" hidden="false" customHeight="false" outlineLevel="0" collapsed="false">
      <c r="A109" s="2" t="n">
        <v>108</v>
      </c>
      <c r="B109" s="11" t="s">
        <v>343</v>
      </c>
      <c r="C109" s="2" t="s">
        <v>376</v>
      </c>
      <c r="D109" s="2" t="s">
        <v>59</v>
      </c>
      <c r="E109" s="2" t="s">
        <v>60</v>
      </c>
      <c r="F109" s="2" t="s">
        <v>2</v>
      </c>
      <c r="G109" s="4" t="s">
        <v>377</v>
      </c>
      <c r="H109" s="2" t="str">
        <f aca="false">IF(G109="","Sin número",IF(LEFT(G109,1)="3","Celular","Fijo"))</f>
        <v>Fijo</v>
      </c>
      <c r="I109" s="5" t="str">
        <f aca="false">IF(H109="Celular",HYPERLINK("https://wa.me/57"&amp;G109,"Abrir chat"),"")</f>
        <v/>
      </c>
      <c r="J109" s="2" t="s">
        <v>378</v>
      </c>
      <c r="K109" s="6" t="s">
        <v>25</v>
      </c>
      <c r="L109" s="7"/>
      <c r="M109" s="8" t="str">
        <f aca="false">IF(L109="","",L109+4)</f>
        <v/>
      </c>
      <c r="N109" s="6"/>
      <c r="O109" s="9" t="str">
        <f aca="false">IF(N109="","",INDEX(Planes!$B$4:$B$6,MATCH(N109,Planes!$A$4:$A$6,0)))</f>
        <v/>
      </c>
      <c r="P109" s="6" t="s">
        <v>360</v>
      </c>
      <c r="Q109" s="6"/>
      <c r="R109" s="2" t="s">
        <v>193</v>
      </c>
      <c r="S109" s="5" t="str">
        <f aca="false">HYPERLINK("https://www.informacolombia.com/directorio-empresas/informacion-empresa/alambique-medellin-sas","Ver fuente")</f>
        <v>Ver fuente</v>
      </c>
    </row>
    <row r="110" customFormat="false" ht="15" hidden="false" customHeight="false" outlineLevel="0" collapsed="false">
      <c r="A110" s="2" t="n">
        <v>109</v>
      </c>
      <c r="B110" s="11" t="s">
        <v>343</v>
      </c>
      <c r="C110" s="2" t="s">
        <v>379</v>
      </c>
      <c r="D110" s="2" t="s">
        <v>59</v>
      </c>
      <c r="E110" s="2"/>
      <c r="F110" s="2" t="s">
        <v>2</v>
      </c>
      <c r="G110" s="4" t="s">
        <v>380</v>
      </c>
      <c r="H110" s="2" t="str">
        <f aca="false">IF(G110="","Sin número",IF(LEFT(G110,1)="3","Celular","Fijo"))</f>
        <v>Fijo</v>
      </c>
      <c r="I110" s="5" t="str">
        <f aca="false">IF(H110="Celular",HYPERLINK("https://wa.me/57"&amp;G110,"Abrir chat"),"")</f>
        <v/>
      </c>
      <c r="J110" s="2" t="s">
        <v>381</v>
      </c>
      <c r="K110" s="6" t="s">
        <v>25</v>
      </c>
      <c r="L110" s="7"/>
      <c r="M110" s="8" t="str">
        <f aca="false">IF(L110="","",L110+4)</f>
        <v/>
      </c>
      <c r="N110" s="6"/>
      <c r="O110" s="9" t="str">
        <f aca="false">IF(N110="","",INDEX(Planes!$B$4:$B$6,MATCH(N110,Planes!$A$4:$A$6,0)))</f>
        <v/>
      </c>
      <c r="P110" s="6" t="s">
        <v>360</v>
      </c>
      <c r="Q110" s="6"/>
      <c r="R110" s="2" t="s">
        <v>193</v>
      </c>
      <c r="S110" s="5" t="str">
        <f aca="false">HYPERLINK("https://directorio-empresas.einforma.co/informacion-empresa/albenzu-sas","Ver fuente")</f>
        <v>Ver fuente</v>
      </c>
    </row>
    <row r="111" customFormat="false" ht="15" hidden="false" customHeight="false" outlineLevel="0" collapsed="false">
      <c r="A111" s="2" t="n">
        <v>110</v>
      </c>
      <c r="B111" s="11" t="s">
        <v>343</v>
      </c>
      <c r="C111" s="2" t="s">
        <v>382</v>
      </c>
      <c r="D111" s="2" t="s">
        <v>59</v>
      </c>
      <c r="E111" s="2" t="s">
        <v>64</v>
      </c>
      <c r="F111" s="2" t="s">
        <v>316</v>
      </c>
      <c r="G111" s="4" t="s">
        <v>383</v>
      </c>
      <c r="H111" s="2" t="str">
        <f aca="false">IF(G111="","Sin número",IF(LEFT(G111,1)="3","Celular","Fijo"))</f>
        <v>Celular</v>
      </c>
      <c r="I111" s="5" t="str">
        <f aca="false">IF(H111="Celular",HYPERLINK("https://wa.me/57"&amp;G111,"Abrir chat"),"")</f>
        <v>Abrir chat</v>
      </c>
      <c r="J111" s="2" t="s">
        <v>384</v>
      </c>
      <c r="K111" s="6" t="s">
        <v>25</v>
      </c>
      <c r="L111" s="7"/>
      <c r="M111" s="8" t="str">
        <f aca="false">IF(L111="","",L111+4)</f>
        <v/>
      </c>
      <c r="N111" s="6"/>
      <c r="O111" s="9" t="str">
        <f aca="false">IF(N111="","",INDEX(Planes!$B$4:$B$6,MATCH(N111,Planes!$A$4:$A$6,0)))</f>
        <v/>
      </c>
      <c r="P111" s="6" t="s">
        <v>192</v>
      </c>
      <c r="Q111" s="6"/>
      <c r="R111" s="2" t="s">
        <v>193</v>
      </c>
      <c r="S111" s="5" t="str">
        <f aca="false">HYPERLINK("https://www.informacolombia.com/directorio-empresas/informacion-empresa/ammazza-laureles-sas","Ver fuente")</f>
        <v>Ver fuente</v>
      </c>
    </row>
    <row r="112" customFormat="false" ht="15" hidden="false" customHeight="false" outlineLevel="0" collapsed="false">
      <c r="A112" s="2" t="n">
        <v>111</v>
      </c>
      <c r="B112" s="11" t="s">
        <v>343</v>
      </c>
      <c r="C112" s="2" t="s">
        <v>385</v>
      </c>
      <c r="D112" s="2" t="s">
        <v>59</v>
      </c>
      <c r="E112" s="2"/>
      <c r="F112" s="2" t="s">
        <v>386</v>
      </c>
      <c r="G112" s="4" t="s">
        <v>387</v>
      </c>
      <c r="H112" s="2" t="str">
        <f aca="false">IF(G112="","Sin número",IF(LEFT(G112,1)="3","Celular","Fijo"))</f>
        <v>Celular</v>
      </c>
      <c r="I112" s="5" t="str">
        <f aca="false">IF(H112="Celular",HYPERLINK("https://wa.me/57"&amp;G112,"Abrir chat"),"")</f>
        <v>Abrir chat</v>
      </c>
      <c r="J112" s="2" t="s">
        <v>388</v>
      </c>
      <c r="K112" s="6" t="s">
        <v>25</v>
      </c>
      <c r="L112" s="7"/>
      <c r="M112" s="8" t="str">
        <f aca="false">IF(L112="","",L112+4)</f>
        <v/>
      </c>
      <c r="N112" s="6"/>
      <c r="O112" s="9" t="str">
        <f aca="false">IF(N112="","",INDEX(Planes!$B$4:$B$6,MATCH(N112,Planes!$A$4:$A$6,0)))</f>
        <v/>
      </c>
      <c r="P112" s="6" t="s">
        <v>192</v>
      </c>
      <c r="Q112" s="6"/>
      <c r="R112" s="2" t="s">
        <v>193</v>
      </c>
      <c r="S112" s="5" t="str">
        <f aca="false">HYPERLINK("https://www.informacolombia.com/directorio-empresas/informacion-empresa/apetentes-sas","Ver fuente")</f>
        <v>Ver fuente</v>
      </c>
    </row>
    <row r="113" customFormat="false" ht="15" hidden="false" customHeight="false" outlineLevel="0" collapsed="false">
      <c r="A113" s="2" t="n">
        <v>112</v>
      </c>
      <c r="B113" s="11" t="s">
        <v>343</v>
      </c>
      <c r="C113" s="2" t="s">
        <v>389</v>
      </c>
      <c r="D113" s="2" t="s">
        <v>59</v>
      </c>
      <c r="E113" s="2"/>
      <c r="F113" s="2" t="s">
        <v>65</v>
      </c>
      <c r="G113" s="4" t="s">
        <v>390</v>
      </c>
      <c r="H113" s="2" t="str">
        <f aca="false">IF(G113="","Sin número",IF(LEFT(G113,1)="3","Celular","Fijo"))</f>
        <v>Fijo</v>
      </c>
      <c r="I113" s="5" t="str">
        <f aca="false">IF(H113="Celular",HYPERLINK("https://wa.me/57"&amp;G113,"Abrir chat"),"")</f>
        <v/>
      </c>
      <c r="J113" s="2" t="s">
        <v>391</v>
      </c>
      <c r="K113" s="6" t="s">
        <v>25</v>
      </c>
      <c r="L113" s="7"/>
      <c r="M113" s="8" t="str">
        <f aca="false">IF(L113="","",L113+4)</f>
        <v/>
      </c>
      <c r="N113" s="6"/>
      <c r="O113" s="9" t="str">
        <f aca="false">IF(N113="","",INDEX(Planes!$B$4:$B$6,MATCH(N113,Planes!$A$4:$A$6,0)))</f>
        <v/>
      </c>
      <c r="P113" s="6" t="s">
        <v>360</v>
      </c>
      <c r="Q113" s="6"/>
      <c r="R113" s="2" t="s">
        <v>193</v>
      </c>
      <c r="S113" s="5" t="str">
        <f aca="false">HYPERLINK("https://directorio-empresas.einforma.co/informacion-empresa/arepas-fogon-paisa-sas","Ver fuente")</f>
        <v>Ver fuente</v>
      </c>
    </row>
    <row r="114" customFormat="false" ht="15" hidden="false" customHeight="false" outlineLevel="0" collapsed="false">
      <c r="A114" s="2" t="n">
        <v>113</v>
      </c>
      <c r="B114" s="11" t="s">
        <v>343</v>
      </c>
      <c r="C114" s="2" t="s">
        <v>392</v>
      </c>
      <c r="D114" s="2" t="s">
        <v>59</v>
      </c>
      <c r="E114" s="2"/>
      <c r="F114" s="2" t="s">
        <v>345</v>
      </c>
      <c r="G114" s="4" t="s">
        <v>393</v>
      </c>
      <c r="H114" s="2" t="str">
        <f aca="false">IF(G114="","Sin número",IF(LEFT(G114,1)="3","Celular","Fijo"))</f>
        <v>Celular</v>
      </c>
      <c r="I114" s="5" t="str">
        <f aca="false">IF(H114="Celular",HYPERLINK("https://wa.me/57"&amp;G114,"Abrir chat"),"")</f>
        <v>Abrir chat</v>
      </c>
      <c r="J114" s="2" t="s">
        <v>394</v>
      </c>
      <c r="K114" s="6" t="s">
        <v>25</v>
      </c>
      <c r="L114" s="7"/>
      <c r="M114" s="8" t="str">
        <f aca="false">IF(L114="","",L114+4)</f>
        <v/>
      </c>
      <c r="N114" s="6"/>
      <c r="O114" s="9" t="str">
        <f aca="false">IF(N114="","",INDEX(Planes!$B$4:$B$6,MATCH(N114,Planes!$A$4:$A$6,0)))</f>
        <v/>
      </c>
      <c r="P114" s="6" t="s">
        <v>192</v>
      </c>
      <c r="Q114" s="6"/>
      <c r="R114" s="2" t="s">
        <v>193</v>
      </c>
      <c r="S114" s="5" t="str">
        <f aca="false">HYPERLINK("https://www.informacolombia.com/directorio-empresas/informacion-empresa/inversiones-cafe-retiro-sas","Ver fuente")</f>
        <v>Ver fuente</v>
      </c>
    </row>
    <row r="115" customFormat="false" ht="15" hidden="false" customHeight="false" outlineLevel="0" collapsed="false">
      <c r="A115" s="2" t="n">
        <v>114</v>
      </c>
      <c r="B115" s="11" t="s">
        <v>343</v>
      </c>
      <c r="C115" s="2" t="s">
        <v>395</v>
      </c>
      <c r="D115" s="2" t="s">
        <v>59</v>
      </c>
      <c r="E115" s="2"/>
      <c r="F115" s="2" t="s">
        <v>345</v>
      </c>
      <c r="G115" s="4" t="s">
        <v>396</v>
      </c>
      <c r="H115" s="2" t="str">
        <f aca="false">IF(G115="","Sin número",IF(LEFT(G115,1)="3","Celular","Fijo"))</f>
        <v>Celular</v>
      </c>
      <c r="I115" s="5" t="str">
        <f aca="false">IF(H115="Celular",HYPERLINK("https://wa.me/57"&amp;G115,"Abrir chat"),"")</f>
        <v>Abrir chat</v>
      </c>
      <c r="J115" s="2" t="s">
        <v>397</v>
      </c>
      <c r="K115" s="6" t="s">
        <v>25</v>
      </c>
      <c r="L115" s="7"/>
      <c r="M115" s="8" t="str">
        <f aca="false">IF(L115="","",L115+4)</f>
        <v/>
      </c>
      <c r="N115" s="6"/>
      <c r="O115" s="9" t="str">
        <f aca="false">IF(N115="","",INDEX(Planes!$B$4:$B$6,MATCH(N115,Planes!$A$4:$A$6,0)))</f>
        <v/>
      </c>
      <c r="P115" s="6" t="s">
        <v>192</v>
      </c>
      <c r="Q115" s="6"/>
      <c r="R115" s="2" t="s">
        <v>193</v>
      </c>
      <c r="S115" s="5" t="str">
        <f aca="false">HYPERLINK("https://www.informacolombia.com/directorio-empresas/informacion-empresa/cafe-sudamerica-colombia-sas","Ver fuente")</f>
        <v>Ver fuente</v>
      </c>
    </row>
    <row r="116" customFormat="false" ht="15" hidden="false" customHeight="false" outlineLevel="0" collapsed="false">
      <c r="A116" s="2" t="n">
        <v>115</v>
      </c>
      <c r="B116" s="11" t="s">
        <v>343</v>
      </c>
      <c r="C116" s="2" t="s">
        <v>398</v>
      </c>
      <c r="D116" s="2" t="s">
        <v>59</v>
      </c>
      <c r="E116" s="2"/>
      <c r="F116" s="2" t="s">
        <v>70</v>
      </c>
      <c r="G116" s="4" t="s">
        <v>399</v>
      </c>
      <c r="H116" s="2" t="str">
        <f aca="false">IF(G116="","Sin número",IF(LEFT(G116,1)="3","Celular","Fijo"))</f>
        <v>Fijo</v>
      </c>
      <c r="I116" s="5" t="str">
        <f aca="false">IF(H116="Celular",HYPERLINK("https://wa.me/57"&amp;G116,"Abrir chat"),"")</f>
        <v/>
      </c>
      <c r="J116" s="2" t="s">
        <v>400</v>
      </c>
      <c r="K116" s="6" t="s">
        <v>25</v>
      </c>
      <c r="L116" s="7"/>
      <c r="M116" s="8" t="str">
        <f aca="false">IF(L116="","",L116+4)</f>
        <v/>
      </c>
      <c r="N116" s="6"/>
      <c r="O116" s="9" t="str">
        <f aca="false">IF(N116="","",INDEX(Planes!$B$4:$B$6,MATCH(N116,Planes!$A$4:$A$6,0)))</f>
        <v/>
      </c>
      <c r="P116" s="6" t="s">
        <v>360</v>
      </c>
      <c r="Q116" s="6"/>
      <c r="R116" s="2" t="s">
        <v>193</v>
      </c>
      <c r="S116" s="5" t="str">
        <f aca="false">HYPERLINK("https://www.informacolombia.com/directorio-empresas/informacion-empresa/chef-burger-sas","Ver fuente")</f>
        <v>Ver fuente</v>
      </c>
    </row>
    <row r="117" customFormat="false" ht="15" hidden="false" customHeight="false" outlineLevel="0" collapsed="false">
      <c r="A117" s="2" t="n">
        <v>116</v>
      </c>
      <c r="B117" s="11" t="s">
        <v>343</v>
      </c>
      <c r="C117" s="2" t="s">
        <v>401</v>
      </c>
      <c r="D117" s="2" t="s">
        <v>59</v>
      </c>
      <c r="E117" s="2" t="s">
        <v>60</v>
      </c>
      <c r="F117" s="2" t="s">
        <v>402</v>
      </c>
      <c r="G117" s="4" t="s">
        <v>403</v>
      </c>
      <c r="H117" s="2" t="str">
        <f aca="false">IF(G117="","Sin número",IF(LEFT(G117,1)="3","Celular","Fijo"))</f>
        <v>Celular</v>
      </c>
      <c r="I117" s="5" t="str">
        <f aca="false">IF(H117="Celular",HYPERLINK("https://wa.me/57"&amp;G117,"Abrir chat"),"")</f>
        <v>Abrir chat</v>
      </c>
      <c r="J117" s="2" t="s">
        <v>404</v>
      </c>
      <c r="K117" s="6" t="s">
        <v>25</v>
      </c>
      <c r="L117" s="7"/>
      <c r="M117" s="8" t="str">
        <f aca="false">IF(L117="","",L117+4)</f>
        <v/>
      </c>
      <c r="N117" s="6"/>
      <c r="O117" s="9" t="str">
        <f aca="false">IF(N117="","",INDEX(Planes!$B$4:$B$6,MATCH(N117,Planes!$A$4:$A$6,0)))</f>
        <v/>
      </c>
      <c r="P117" s="6" t="s">
        <v>192</v>
      </c>
      <c r="Q117" s="6"/>
      <c r="R117" s="2" t="s">
        <v>193</v>
      </c>
      <c r="S117" s="5" t="str">
        <f aca="false">HYPERLINK("https://www.informacolombia.com/directorio-empresas/informacion-empresa/cocina-cafe-pan-sas","Ver fuente")</f>
        <v>Ver fuente</v>
      </c>
    </row>
    <row r="118" customFormat="false" ht="15" hidden="false" customHeight="false" outlineLevel="0" collapsed="false">
      <c r="A118" s="2" t="n">
        <v>117</v>
      </c>
      <c r="B118" s="11" t="s">
        <v>343</v>
      </c>
      <c r="C118" s="2" t="s">
        <v>405</v>
      </c>
      <c r="D118" s="2" t="s">
        <v>59</v>
      </c>
      <c r="E118" s="2" t="s">
        <v>60</v>
      </c>
      <c r="F118" s="2" t="s">
        <v>345</v>
      </c>
      <c r="G118" s="4" t="s">
        <v>406</v>
      </c>
      <c r="H118" s="2" t="str">
        <f aca="false">IF(G118="","Sin número",IF(LEFT(G118,1)="3","Celular","Fijo"))</f>
        <v>Celular</v>
      </c>
      <c r="I118" s="5" t="str">
        <f aca="false">IF(H118="Celular",HYPERLINK("https://wa.me/57"&amp;G118,"Abrir chat"),"")</f>
        <v>Abrir chat</v>
      </c>
      <c r="J118" s="2" t="s">
        <v>407</v>
      </c>
      <c r="K118" s="6" t="s">
        <v>25</v>
      </c>
      <c r="L118" s="7"/>
      <c r="M118" s="8" t="str">
        <f aca="false">IF(L118="","",L118+4)</f>
        <v/>
      </c>
      <c r="N118" s="6"/>
      <c r="O118" s="9" t="str">
        <f aca="false">IF(N118="","",INDEX(Planes!$B$4:$B$6,MATCH(N118,Planes!$A$4:$A$6,0)))</f>
        <v/>
      </c>
      <c r="P118" s="6" t="s">
        <v>192</v>
      </c>
      <c r="Q118" s="6"/>
      <c r="R118" s="2" t="s">
        <v>193</v>
      </c>
      <c r="S118" s="5" t="str">
        <f aca="false">HYPERLINK("https://www.informacolombia.com/directorio-empresas/informacion-empresa/coffee-development-projects-sas","Ver fuente")</f>
        <v>Ver fuente</v>
      </c>
    </row>
    <row r="119" customFormat="false" ht="15" hidden="false" customHeight="false" outlineLevel="0" collapsed="false">
      <c r="A119" s="2" t="n">
        <v>118</v>
      </c>
      <c r="B119" s="11" t="s">
        <v>343</v>
      </c>
      <c r="C119" s="2" t="s">
        <v>408</v>
      </c>
      <c r="D119" s="2" t="s">
        <v>59</v>
      </c>
      <c r="E119" s="2" t="s">
        <v>409</v>
      </c>
      <c r="F119" s="2" t="s">
        <v>410</v>
      </c>
      <c r="G119" s="4" t="s">
        <v>411</v>
      </c>
      <c r="H119" s="2" t="str">
        <f aca="false">IF(G119="","Sin número",IF(LEFT(G119,1)="3","Celular","Fijo"))</f>
        <v>Celular</v>
      </c>
      <c r="I119" s="5" t="str">
        <f aca="false">IF(H119="Celular",HYPERLINK("https://wa.me/57"&amp;G119,"Abrir chat"),"")</f>
        <v>Abrir chat</v>
      </c>
      <c r="J119" s="2" t="s">
        <v>412</v>
      </c>
      <c r="K119" s="6" t="s">
        <v>25</v>
      </c>
      <c r="L119" s="7"/>
      <c r="M119" s="8" t="str">
        <f aca="false">IF(L119="","",L119+4)</f>
        <v/>
      </c>
      <c r="N119" s="6"/>
      <c r="O119" s="9" t="str">
        <f aca="false">IF(N119="","",INDEX(Planes!$B$4:$B$6,MATCH(N119,Planes!$A$4:$A$6,0)))</f>
        <v/>
      </c>
      <c r="P119" s="6" t="s">
        <v>192</v>
      </c>
      <c r="Q119" s="6"/>
      <c r="R119" s="2" t="s">
        <v>193</v>
      </c>
      <c r="S119" s="5" t="str">
        <f aca="false">HYPERLINK("https://www.informacolombia.com/directorio-empresas/informacion-empresa/clinica-veterinaria-manrique-sas","Ver fuente")</f>
        <v>Ver fuente</v>
      </c>
    </row>
    <row r="120" customFormat="false" ht="15" hidden="false" customHeight="false" outlineLevel="0" collapsed="false">
      <c r="A120" s="2" t="n">
        <v>119</v>
      </c>
      <c r="B120" s="11" t="s">
        <v>343</v>
      </c>
      <c r="C120" s="2" t="s">
        <v>413</v>
      </c>
      <c r="D120" s="2" t="s">
        <v>59</v>
      </c>
      <c r="E120" s="2"/>
      <c r="F120" s="2" t="s">
        <v>316</v>
      </c>
      <c r="G120" s="4" t="s">
        <v>414</v>
      </c>
      <c r="H120" s="2" t="str">
        <f aca="false">IF(G120="","Sin número",IF(LEFT(G120,1)="3","Celular","Fijo"))</f>
        <v>Celular</v>
      </c>
      <c r="I120" s="5" t="str">
        <f aca="false">IF(H120="Celular",HYPERLINK("https://wa.me/57"&amp;G120,"Abrir chat"),"")</f>
        <v>Abrir chat</v>
      </c>
      <c r="J120" s="2" t="s">
        <v>415</v>
      </c>
      <c r="K120" s="6" t="s">
        <v>25</v>
      </c>
      <c r="L120" s="7"/>
      <c r="M120" s="8" t="str">
        <f aca="false">IF(L120="","",L120+4)</f>
        <v/>
      </c>
      <c r="N120" s="6"/>
      <c r="O120" s="9" t="str">
        <f aca="false">IF(N120="","",INDEX(Planes!$B$4:$B$6,MATCH(N120,Planes!$A$4:$A$6,0)))</f>
        <v/>
      </c>
      <c r="P120" s="6" t="s">
        <v>192</v>
      </c>
      <c r="Q120" s="6"/>
      <c r="R120" s="2" t="s">
        <v>193</v>
      </c>
      <c r="S120" s="5" t="str">
        <f aca="false">HYPERLINK("https://directorio-empresas.einforma.co/informacion-empresa/elemental-cocina-mesa-bar-sas","Ver fuente")</f>
        <v>Ver fuente</v>
      </c>
    </row>
    <row r="121" customFormat="false" ht="15" hidden="false" customHeight="false" outlineLevel="0" collapsed="false">
      <c r="A121" s="2" t="n">
        <v>120</v>
      </c>
      <c r="B121" s="11" t="s">
        <v>343</v>
      </c>
      <c r="C121" s="2" t="s">
        <v>416</v>
      </c>
      <c r="D121" s="2" t="s">
        <v>59</v>
      </c>
      <c r="E121" s="2"/>
      <c r="F121" s="2" t="s">
        <v>417</v>
      </c>
      <c r="G121" s="4" t="s">
        <v>418</v>
      </c>
      <c r="H121" s="2" t="str">
        <f aca="false">IF(G121="","Sin número",IF(LEFT(G121,1)="3","Celular","Fijo"))</f>
        <v>Celular</v>
      </c>
      <c r="I121" s="5" t="str">
        <f aca="false">IF(H121="Celular",HYPERLINK("https://wa.me/57"&amp;G121,"Abrir chat"),"")</f>
        <v>Abrir chat</v>
      </c>
      <c r="J121" s="2" t="s">
        <v>419</v>
      </c>
      <c r="K121" s="6" t="s">
        <v>25</v>
      </c>
      <c r="L121" s="7"/>
      <c r="M121" s="8" t="str">
        <f aca="false">IF(L121="","",L121+4)</f>
        <v/>
      </c>
      <c r="N121" s="6"/>
      <c r="O121" s="9" t="str">
        <f aca="false">IF(N121="","",INDEX(Planes!$B$4:$B$6,MATCH(N121,Planes!$A$4:$A$6,0)))</f>
        <v/>
      </c>
      <c r="P121" s="6" t="s">
        <v>192</v>
      </c>
      <c r="Q121" s="6"/>
      <c r="R121" s="2" t="s">
        <v>193</v>
      </c>
      <c r="S121" s="5" t="str">
        <f aca="false">HYPERLINK("https://directorio-empresas.einforma.co/informacion-empresa/eventos-alimentos-sas","Ver fuente")</f>
        <v>Ver fuente</v>
      </c>
    </row>
    <row r="122" customFormat="false" ht="15" hidden="false" customHeight="false" outlineLevel="0" collapsed="false">
      <c r="A122" s="2" t="n">
        <v>121</v>
      </c>
      <c r="B122" s="11" t="s">
        <v>343</v>
      </c>
      <c r="C122" s="2" t="s">
        <v>420</v>
      </c>
      <c r="D122" s="2" t="s">
        <v>59</v>
      </c>
      <c r="E122" s="2"/>
      <c r="F122" s="2" t="s">
        <v>2</v>
      </c>
      <c r="G122" s="4" t="s">
        <v>421</v>
      </c>
      <c r="H122" s="2" t="str">
        <f aca="false">IF(G122="","Sin número",IF(LEFT(G122,1)="3","Celular","Fijo"))</f>
        <v>Fijo</v>
      </c>
      <c r="I122" s="5" t="str">
        <f aca="false">IF(H122="Celular",HYPERLINK("https://wa.me/57"&amp;G122,"Abrir chat"),"")</f>
        <v/>
      </c>
      <c r="J122" s="2"/>
      <c r="K122" s="6" t="s">
        <v>25</v>
      </c>
      <c r="L122" s="7"/>
      <c r="M122" s="8" t="str">
        <f aca="false">IF(L122="","",L122+4)</f>
        <v/>
      </c>
      <c r="N122" s="6"/>
      <c r="O122" s="9" t="str">
        <f aca="false">IF(N122="","",INDEX(Planes!$B$4:$B$6,MATCH(N122,Planes!$A$4:$A$6,0)))</f>
        <v/>
      </c>
      <c r="P122" s="6" t="s">
        <v>360</v>
      </c>
      <c r="Q122" s="6"/>
      <c r="R122" s="2" t="s">
        <v>193</v>
      </c>
      <c r="S122" s="5" t="str">
        <f aca="false">HYPERLINK("https://www.informacolombia.com/directorio-empresas/actividad/5611_EXPENDIO-A-LA-MESA-DE-COMIDAS-PREPARADAS/localidad_medellin?qPg=2","Ver fuente")</f>
        <v>Ver fuente</v>
      </c>
    </row>
    <row r="123" customFormat="false" ht="15" hidden="false" customHeight="false" outlineLevel="0" collapsed="false">
      <c r="A123" s="2" t="n">
        <v>122</v>
      </c>
      <c r="B123" s="11" t="s">
        <v>343</v>
      </c>
      <c r="C123" s="2" t="s">
        <v>422</v>
      </c>
      <c r="D123" s="2" t="s">
        <v>59</v>
      </c>
      <c r="E123" s="2" t="s">
        <v>60</v>
      </c>
      <c r="F123" s="2" t="s">
        <v>2</v>
      </c>
      <c r="G123" s="4" t="s">
        <v>423</v>
      </c>
      <c r="H123" s="2" t="str">
        <f aca="false">IF(G123="","Sin número",IF(LEFT(G123,1)="3","Celular","Fijo"))</f>
        <v>Fijo</v>
      </c>
      <c r="I123" s="5" t="str">
        <f aca="false">IF(H123="Celular",HYPERLINK("https://wa.me/57"&amp;G123,"Abrir chat"),"")</f>
        <v/>
      </c>
      <c r="J123" s="2" t="s">
        <v>424</v>
      </c>
      <c r="K123" s="6" t="s">
        <v>25</v>
      </c>
      <c r="L123" s="7"/>
      <c r="M123" s="8" t="str">
        <f aca="false">IF(L123="","",L123+4)</f>
        <v/>
      </c>
      <c r="N123" s="6"/>
      <c r="O123" s="9" t="str">
        <f aca="false">IF(N123="","",INDEX(Planes!$B$4:$B$6,MATCH(N123,Planes!$A$4:$A$6,0)))</f>
        <v/>
      </c>
      <c r="P123" s="6" t="s">
        <v>360</v>
      </c>
      <c r="Q123" s="6"/>
      <c r="R123" s="2" t="s">
        <v>193</v>
      </c>
      <c r="S123" s="5" t="str">
        <f aca="false">HYPERLINK("https://www.informacolombia.com/directorio-empresas/informacion-empresa/gourmet-cocina-ltda","Ver fuente")</f>
        <v>Ver fuente</v>
      </c>
    </row>
    <row r="124" customFormat="false" ht="15" hidden="false" customHeight="false" outlineLevel="0" collapsed="false">
      <c r="A124" s="2" t="n">
        <v>123</v>
      </c>
      <c r="B124" s="11" t="s">
        <v>343</v>
      </c>
      <c r="C124" s="2" t="s">
        <v>425</v>
      </c>
      <c r="D124" s="2" t="s">
        <v>59</v>
      </c>
      <c r="E124" s="2"/>
      <c r="F124" s="2" t="s">
        <v>111</v>
      </c>
      <c r="G124" s="4" t="s">
        <v>426</v>
      </c>
      <c r="H124" s="2" t="str">
        <f aca="false">IF(G124="","Sin número",IF(LEFT(G124,1)="3","Celular","Fijo"))</f>
        <v>Fijo</v>
      </c>
      <c r="I124" s="5" t="str">
        <f aca="false">IF(H124="Celular",HYPERLINK("https://wa.me/57"&amp;G124,"Abrir chat"),"")</f>
        <v/>
      </c>
      <c r="J124" s="2" t="s">
        <v>427</v>
      </c>
      <c r="K124" s="6" t="s">
        <v>25</v>
      </c>
      <c r="L124" s="7"/>
      <c r="M124" s="8" t="str">
        <f aca="false">IF(L124="","",L124+4)</f>
        <v/>
      </c>
      <c r="N124" s="6"/>
      <c r="O124" s="9" t="str">
        <f aca="false">IF(N124="","",INDEX(Planes!$B$4:$B$6,MATCH(N124,Planes!$A$4:$A$6,0)))</f>
        <v/>
      </c>
      <c r="P124" s="6" t="s">
        <v>360</v>
      </c>
      <c r="Q124" s="6"/>
      <c r="R124" s="2" t="s">
        <v>193</v>
      </c>
      <c r="S124" s="5" t="str">
        <f aca="false">HYPERLINK("https://directorio-empresas.einforma.co/informacion-empresa/grupo-alimenticio-pizzotas-sas","Ver fuente")</f>
        <v>Ver fuente</v>
      </c>
    </row>
    <row r="125" customFormat="false" ht="15" hidden="false" customHeight="false" outlineLevel="0" collapsed="false">
      <c r="A125" s="2" t="n">
        <v>124</v>
      </c>
      <c r="B125" s="11" t="s">
        <v>343</v>
      </c>
      <c r="C125" s="2" t="s">
        <v>428</v>
      </c>
      <c r="D125" s="2" t="s">
        <v>59</v>
      </c>
      <c r="E125" s="2"/>
      <c r="F125" s="2" t="s">
        <v>70</v>
      </c>
      <c r="G125" s="4" t="s">
        <v>429</v>
      </c>
      <c r="H125" s="2" t="str">
        <f aca="false">IF(G125="","Sin número",IF(LEFT(G125,1)="3","Celular","Fijo"))</f>
        <v>Fijo</v>
      </c>
      <c r="I125" s="5" t="str">
        <f aca="false">IF(H125="Celular",HYPERLINK("https://wa.me/57"&amp;G125,"Abrir chat"),"")</f>
        <v/>
      </c>
      <c r="J125" s="2" t="s">
        <v>430</v>
      </c>
      <c r="K125" s="6" t="s">
        <v>25</v>
      </c>
      <c r="L125" s="7"/>
      <c r="M125" s="8" t="str">
        <f aca="false">IF(L125="","",L125+4)</f>
        <v/>
      </c>
      <c r="N125" s="6"/>
      <c r="O125" s="9" t="str">
        <f aca="false">IF(N125="","",INDEX(Planes!$B$4:$B$6,MATCH(N125,Planes!$A$4:$A$6,0)))</f>
        <v/>
      </c>
      <c r="P125" s="6" t="s">
        <v>360</v>
      </c>
      <c r="Q125" s="6"/>
      <c r="R125" s="2" t="s">
        <v>193</v>
      </c>
      <c r="S125" s="5" t="str">
        <f aca="false">HYPERLINK("https://directorio-empresas.einforma.co/informacion-empresa/hamburguesas-46-sas","Ver fuente")</f>
        <v>Ver fuente</v>
      </c>
    </row>
    <row r="126" customFormat="false" ht="15" hidden="false" customHeight="false" outlineLevel="0" collapsed="false">
      <c r="A126" s="2" t="n">
        <v>125</v>
      </c>
      <c r="B126" s="11" t="s">
        <v>343</v>
      </c>
      <c r="C126" s="2" t="s">
        <v>431</v>
      </c>
      <c r="D126" s="2" t="s">
        <v>59</v>
      </c>
      <c r="E126" s="2"/>
      <c r="F126" s="2" t="s">
        <v>70</v>
      </c>
      <c r="G126" s="4" t="s">
        <v>432</v>
      </c>
      <c r="H126" s="2" t="str">
        <f aca="false">IF(G126="","Sin número",IF(LEFT(G126,1)="3","Celular","Fijo"))</f>
        <v>Fijo</v>
      </c>
      <c r="I126" s="5" t="str">
        <f aca="false">IF(H126="Celular",HYPERLINK("https://wa.me/57"&amp;G126,"Abrir chat"),"")</f>
        <v/>
      </c>
      <c r="J126" s="2" t="s">
        <v>433</v>
      </c>
      <c r="K126" s="6" t="s">
        <v>25</v>
      </c>
      <c r="L126" s="7"/>
      <c r="M126" s="8" t="str">
        <f aca="false">IF(L126="","",L126+4)</f>
        <v/>
      </c>
      <c r="N126" s="6"/>
      <c r="O126" s="9" t="str">
        <f aca="false">IF(N126="","",INDEX(Planes!$B$4:$B$6,MATCH(N126,Planes!$A$4:$A$6,0)))</f>
        <v/>
      </c>
      <c r="P126" s="6" t="s">
        <v>360</v>
      </c>
      <c r="Q126" s="6"/>
      <c r="R126" s="2" t="s">
        <v>193</v>
      </c>
      <c r="S126" s="5" t="str">
        <f aca="false">HYPERLINK("https://www.informacolombia.com/directorio-empresas/informacion-empresa/hamburguesas-perros-barrio-sas","Ver fuente")</f>
        <v>Ver fuente</v>
      </c>
    </row>
    <row r="127" customFormat="false" ht="15" hidden="false" customHeight="false" outlineLevel="0" collapsed="false">
      <c r="A127" s="2" t="n">
        <v>126</v>
      </c>
      <c r="B127" s="11" t="s">
        <v>343</v>
      </c>
      <c r="C127" s="2" t="s">
        <v>434</v>
      </c>
      <c r="D127" s="2" t="s">
        <v>59</v>
      </c>
      <c r="E127" s="2" t="s">
        <v>60</v>
      </c>
      <c r="F127" s="2" t="s">
        <v>231</v>
      </c>
      <c r="G127" s="4" t="s">
        <v>435</v>
      </c>
      <c r="H127" s="2" t="str">
        <f aca="false">IF(G127="","Sin número",IF(LEFT(G127,1)="3","Celular","Fijo"))</f>
        <v>Celular</v>
      </c>
      <c r="I127" s="5" t="str">
        <f aca="false">IF(H127="Celular",HYPERLINK("https://wa.me/57"&amp;G127,"Abrir chat"),"")</f>
        <v>Abrir chat</v>
      </c>
      <c r="J127" s="2" t="s">
        <v>436</v>
      </c>
      <c r="K127" s="6" t="s">
        <v>25</v>
      </c>
      <c r="L127" s="7"/>
      <c r="M127" s="8" t="str">
        <f aca="false">IF(L127="","",L127+4)</f>
        <v/>
      </c>
      <c r="N127" s="6"/>
      <c r="O127" s="9" t="str">
        <f aca="false">IF(N127="","",INDEX(Planes!$B$4:$B$6,MATCH(N127,Planes!$A$4:$A$6,0)))</f>
        <v/>
      </c>
      <c r="P127" s="6" t="s">
        <v>192</v>
      </c>
      <c r="Q127" s="6"/>
      <c r="R127" s="2" t="s">
        <v>193</v>
      </c>
      <c r="S127" s="5" t="str">
        <f aca="false">HYPERLINK("https://www.informacolombia.com/directorio-empresas/actividad/5611_EXPENDIO-A-LA-MESA-DE-COMIDAS-PREPARADAS/localidad_medellin?qPg=2","Ver fuente")</f>
        <v>Ver fuente</v>
      </c>
    </row>
    <row r="128" customFormat="false" ht="15" hidden="false" customHeight="false" outlineLevel="0" collapsed="false">
      <c r="A128" s="2" t="n">
        <v>127</v>
      </c>
      <c r="B128" s="11" t="s">
        <v>343</v>
      </c>
      <c r="C128" s="2" t="s">
        <v>437</v>
      </c>
      <c r="D128" s="2" t="s">
        <v>59</v>
      </c>
      <c r="E128" s="2" t="s">
        <v>60</v>
      </c>
      <c r="F128" s="2" t="s">
        <v>438</v>
      </c>
      <c r="G128" s="4" t="s">
        <v>439</v>
      </c>
      <c r="H128" s="2" t="str">
        <f aca="false">IF(G128="","Sin número",IF(LEFT(G128,1)="3","Celular","Fijo"))</f>
        <v>Fijo</v>
      </c>
      <c r="I128" s="5" t="str">
        <f aca="false">IF(H128="Celular",HYPERLINK("https://wa.me/57"&amp;G128,"Abrir chat"),"")</f>
        <v/>
      </c>
      <c r="J128" s="2" t="s">
        <v>440</v>
      </c>
      <c r="K128" s="6" t="s">
        <v>25</v>
      </c>
      <c r="L128" s="7"/>
      <c r="M128" s="8" t="str">
        <f aca="false">IF(L128="","",L128+4)</f>
        <v/>
      </c>
      <c r="N128" s="6"/>
      <c r="O128" s="9" t="str">
        <f aca="false">IF(N128="","",INDEX(Planes!$B$4:$B$6,MATCH(N128,Planes!$A$4:$A$6,0)))</f>
        <v/>
      </c>
      <c r="P128" s="6" t="s">
        <v>360</v>
      </c>
      <c r="Q128" s="6"/>
      <c r="R128" s="2" t="s">
        <v>193</v>
      </c>
      <c r="S128" s="5" t="str">
        <f aca="false">HYPERLINK("https://www.informacolombia.com/directorio-empresas/informacion-empresa/subway-poblado-sas","Ver fuente")</f>
        <v>Ver fuente</v>
      </c>
    </row>
    <row r="129" customFormat="false" ht="15" hidden="false" customHeight="false" outlineLevel="0" collapsed="false">
      <c r="A129" s="2" t="n">
        <v>128</v>
      </c>
      <c r="B129" s="11" t="s">
        <v>343</v>
      </c>
      <c r="C129" s="2" t="s">
        <v>441</v>
      </c>
      <c r="D129" s="2" t="s">
        <v>59</v>
      </c>
      <c r="E129" s="2" t="s">
        <v>60</v>
      </c>
      <c r="F129" s="2" t="s">
        <v>351</v>
      </c>
      <c r="G129" s="4" t="s">
        <v>442</v>
      </c>
      <c r="H129" s="2" t="str">
        <f aca="false">IF(G129="","Sin número",IF(LEFT(G129,1)="3","Celular","Fijo"))</f>
        <v>Celular</v>
      </c>
      <c r="I129" s="5" t="str">
        <f aca="false">IF(H129="Celular",HYPERLINK("https://wa.me/57"&amp;G129,"Abrir chat"),"")</f>
        <v>Abrir chat</v>
      </c>
      <c r="J129" s="2" t="s">
        <v>443</v>
      </c>
      <c r="K129" s="6" t="s">
        <v>25</v>
      </c>
      <c r="L129" s="7"/>
      <c r="M129" s="8" t="str">
        <f aca="false">IF(L129="","",L129+4)</f>
        <v/>
      </c>
      <c r="N129" s="6"/>
      <c r="O129" s="9" t="str">
        <f aca="false">IF(N129="","",INDEX(Planes!$B$4:$B$6,MATCH(N129,Planes!$A$4:$A$6,0)))</f>
        <v/>
      </c>
      <c r="P129" s="6" t="s">
        <v>192</v>
      </c>
      <c r="Q129" s="6"/>
      <c r="R129" s="2" t="s">
        <v>193</v>
      </c>
      <c r="S129" s="5" t="str">
        <f aca="false">HYPERLINK("https://directorio-empresas.einforma.co/informacion-empresa/inversiones-gastronomicas-fogonazo-sas","Ver fuente")</f>
        <v>Ver fuente</v>
      </c>
    </row>
    <row r="130" customFormat="false" ht="15" hidden="false" customHeight="false" outlineLevel="0" collapsed="false">
      <c r="A130" s="2" t="n">
        <v>129</v>
      </c>
      <c r="B130" s="11" t="s">
        <v>343</v>
      </c>
      <c r="C130" s="2" t="s">
        <v>444</v>
      </c>
      <c r="D130" s="2" t="s">
        <v>59</v>
      </c>
      <c r="E130" s="2"/>
      <c r="F130" s="2" t="s">
        <v>445</v>
      </c>
      <c r="G130" s="4" t="s">
        <v>446</v>
      </c>
      <c r="H130" s="2" t="str">
        <f aca="false">IF(G130="","Sin número",IF(LEFT(G130,1)="3","Celular","Fijo"))</f>
        <v>Fijo</v>
      </c>
      <c r="I130" s="5" t="str">
        <f aca="false">IF(H130="Celular",HYPERLINK("https://wa.me/57"&amp;G130,"Abrir chat"),"")</f>
        <v/>
      </c>
      <c r="J130" s="2" t="s">
        <v>447</v>
      </c>
      <c r="K130" s="6" t="s">
        <v>25</v>
      </c>
      <c r="L130" s="7"/>
      <c r="M130" s="8" t="str">
        <f aca="false">IF(L130="","",L130+4)</f>
        <v/>
      </c>
      <c r="N130" s="6"/>
      <c r="O130" s="9" t="str">
        <f aca="false">IF(N130="","",INDEX(Planes!$B$4:$B$6,MATCH(N130,Planes!$A$4:$A$6,0)))</f>
        <v/>
      </c>
      <c r="P130" s="6" t="s">
        <v>360</v>
      </c>
      <c r="Q130" s="6"/>
      <c r="R130" s="2" t="s">
        <v>193</v>
      </c>
      <c r="S130" s="5" t="str">
        <f aca="false">HYPERLINK("https://directorio-empresas.einforma.co/informacion-empresa/inversiones-parilla-mar-sas","Ver fuente")</f>
        <v>Ver fuente</v>
      </c>
    </row>
    <row r="131" customFormat="false" ht="15" hidden="false" customHeight="false" outlineLevel="0" collapsed="false">
      <c r="A131" s="2" t="n">
        <v>130</v>
      </c>
      <c r="B131" s="11" t="s">
        <v>343</v>
      </c>
      <c r="C131" s="2" t="s">
        <v>448</v>
      </c>
      <c r="D131" s="2" t="s">
        <v>59</v>
      </c>
      <c r="E131" s="2" t="s">
        <v>60</v>
      </c>
      <c r="F131" s="2" t="s">
        <v>449</v>
      </c>
      <c r="G131" s="4" t="s">
        <v>450</v>
      </c>
      <c r="H131" s="2" t="str">
        <f aca="false">IF(G131="","Sin número",IF(LEFT(G131,1)="3","Celular","Fijo"))</f>
        <v>Fijo</v>
      </c>
      <c r="I131" s="5" t="str">
        <f aca="false">IF(H131="Celular",HYPERLINK("https://wa.me/57"&amp;G131,"Abrir chat"),"")</f>
        <v/>
      </c>
      <c r="J131" s="2" t="s">
        <v>451</v>
      </c>
      <c r="K131" s="6" t="s">
        <v>25</v>
      </c>
      <c r="L131" s="7"/>
      <c r="M131" s="8" t="str">
        <f aca="false">IF(L131="","",L131+4)</f>
        <v/>
      </c>
      <c r="N131" s="6"/>
      <c r="O131" s="9" t="str">
        <f aca="false">IF(N131="","",INDEX(Planes!$B$4:$B$6,MATCH(N131,Planes!$A$4:$A$6,0)))</f>
        <v/>
      </c>
      <c r="P131" s="6" t="s">
        <v>360</v>
      </c>
      <c r="Q131" s="6"/>
      <c r="R131" s="2" t="s">
        <v>193</v>
      </c>
      <c r="S131" s="5" t="str">
        <f aca="false">HYPERLINK("https://www.informacolombia.com/directorio-empresas/informacion-empresa/inversiones-sushi-train-sas","Ver fuente")</f>
        <v>Ver fuente</v>
      </c>
    </row>
    <row r="132" customFormat="false" ht="15" hidden="false" customHeight="false" outlineLevel="0" collapsed="false">
      <c r="A132" s="2" t="n">
        <v>131</v>
      </c>
      <c r="B132" s="11" t="s">
        <v>343</v>
      </c>
      <c r="C132" s="2" t="s">
        <v>452</v>
      </c>
      <c r="D132" s="2" t="s">
        <v>59</v>
      </c>
      <c r="E132" s="2" t="s">
        <v>91</v>
      </c>
      <c r="F132" s="2" t="s">
        <v>410</v>
      </c>
      <c r="G132" s="4" t="s">
        <v>453</v>
      </c>
      <c r="H132" s="2" t="str">
        <f aca="false">IF(G132="","Sin número",IF(LEFT(G132,1)="3","Celular","Fijo"))</f>
        <v>Celular</v>
      </c>
      <c r="I132" s="5" t="str">
        <f aca="false">IF(H132="Celular",HYPERLINK("https://wa.me/57"&amp;G132,"Abrir chat"),"")</f>
        <v>Abrir chat</v>
      </c>
      <c r="J132" s="2" t="s">
        <v>454</v>
      </c>
      <c r="K132" s="6" t="s">
        <v>25</v>
      </c>
      <c r="L132" s="7"/>
      <c r="M132" s="8" t="str">
        <f aca="false">IF(L132="","",L132+4)</f>
        <v/>
      </c>
      <c r="N132" s="6"/>
      <c r="O132" s="9" t="str">
        <f aca="false">IF(N132="","",INDEX(Planes!$B$4:$B$6,MATCH(N132,Planes!$A$4:$A$6,0)))</f>
        <v/>
      </c>
      <c r="P132" s="6" t="s">
        <v>192</v>
      </c>
      <c r="Q132" s="6"/>
      <c r="R132" s="2" t="s">
        <v>193</v>
      </c>
      <c r="S132" s="5" t="str">
        <f aca="false">HYPERLINK("https://www.informacolombia.com/directorio-empresas/informacion-empresa/distribuidora-gas-antioquia-aranjuez-sas","Ver fuente")</f>
        <v>Ver fuente</v>
      </c>
    </row>
    <row r="133" customFormat="false" ht="15" hidden="false" customHeight="false" outlineLevel="0" collapsed="false">
      <c r="A133" s="2" t="n">
        <v>132</v>
      </c>
      <c r="B133" s="11" t="s">
        <v>343</v>
      </c>
      <c r="C133" s="2" t="s">
        <v>455</v>
      </c>
      <c r="D133" s="2" t="s">
        <v>59</v>
      </c>
      <c r="E133" s="2"/>
      <c r="F133" s="2" t="s">
        <v>456</v>
      </c>
      <c r="G133" s="4" t="s">
        <v>457</v>
      </c>
      <c r="H133" s="2" t="str">
        <f aca="false">IF(G133="","Sin número",IF(LEFT(G133,1)="3","Celular","Fijo"))</f>
        <v>Celular</v>
      </c>
      <c r="I133" s="5" t="str">
        <f aca="false">IF(H133="Celular",HYPERLINK("https://wa.me/57"&amp;G133,"Abrir chat"),"")</f>
        <v>Abrir chat</v>
      </c>
      <c r="J133" s="2"/>
      <c r="K133" s="6" t="s">
        <v>25</v>
      </c>
      <c r="L133" s="7"/>
      <c r="M133" s="8" t="str">
        <f aca="false">IF(L133="","",L133+4)</f>
        <v/>
      </c>
      <c r="N133" s="6"/>
      <c r="O133" s="9" t="str">
        <f aca="false">IF(N133="","",INDEX(Planes!$B$4:$B$6,MATCH(N133,Planes!$A$4:$A$6,0)))</f>
        <v/>
      </c>
      <c r="P133" s="6" t="s">
        <v>192</v>
      </c>
      <c r="Q133" s="6"/>
      <c r="R133" s="2" t="s">
        <v>193</v>
      </c>
      <c r="S133" s="5" t="str">
        <f aca="false">HYPERLINK("https://www.informacolombia.com/directorio-empresas/informacion-empresa/oculta-medellin-sas","Ver fuente")</f>
        <v>Ver fuente</v>
      </c>
    </row>
    <row r="134" customFormat="false" ht="15" hidden="false" customHeight="false" outlineLevel="0" collapsed="false">
      <c r="A134" s="2" t="n">
        <v>133</v>
      </c>
      <c r="B134" s="11" t="s">
        <v>343</v>
      </c>
      <c r="C134" s="2" t="s">
        <v>458</v>
      </c>
      <c r="D134" s="2" t="s">
        <v>59</v>
      </c>
      <c r="E134" s="2"/>
      <c r="F134" s="2" t="s">
        <v>179</v>
      </c>
      <c r="G134" s="4" t="s">
        <v>459</v>
      </c>
      <c r="H134" s="2" t="str">
        <f aca="false">IF(G134="","Sin número",IF(LEFT(G134,1)="3","Celular","Fijo"))</f>
        <v>Fijo</v>
      </c>
      <c r="I134" s="5" t="str">
        <f aca="false">IF(H134="Celular",HYPERLINK("https://wa.me/57"&amp;G134,"Abrir chat"),"")</f>
        <v/>
      </c>
      <c r="J134" s="2" t="s">
        <v>460</v>
      </c>
      <c r="K134" s="6" t="s">
        <v>25</v>
      </c>
      <c r="L134" s="7"/>
      <c r="M134" s="8" t="str">
        <f aca="false">IF(L134="","",L134+4)</f>
        <v/>
      </c>
      <c r="N134" s="6"/>
      <c r="O134" s="9" t="str">
        <f aca="false">IF(N134="","",INDEX(Planes!$B$4:$B$6,MATCH(N134,Planes!$A$4:$A$6,0)))</f>
        <v/>
      </c>
      <c r="P134" s="6" t="s">
        <v>360</v>
      </c>
      <c r="Q134" s="6"/>
      <c r="R134" s="2" t="s">
        <v>193</v>
      </c>
      <c r="S134" s="5" t="str">
        <f aca="false">HYPERLINK("https://www.informacolombia.com/directorio-empresas/informacion-empresa/3p-italianas-sas","Ver fuente")</f>
        <v>Ver fuente</v>
      </c>
    </row>
    <row r="135" customFormat="false" ht="15" hidden="false" customHeight="false" outlineLevel="0" collapsed="false">
      <c r="A135" s="2" t="n">
        <v>134</v>
      </c>
      <c r="B135" s="11" t="s">
        <v>343</v>
      </c>
      <c r="C135" s="2" t="s">
        <v>461</v>
      </c>
      <c r="D135" s="2" t="s">
        <v>59</v>
      </c>
      <c r="E135" s="2"/>
      <c r="F135" s="2" t="s">
        <v>386</v>
      </c>
      <c r="G135" s="4" t="s">
        <v>462</v>
      </c>
      <c r="H135" s="2" t="str">
        <f aca="false">IF(G135="","Sin número",IF(LEFT(G135,1)="3","Celular","Fijo"))</f>
        <v>Fijo</v>
      </c>
      <c r="I135" s="5" t="str">
        <f aca="false">IF(H135="Celular",HYPERLINK("https://wa.me/57"&amp;G135,"Abrir chat"),"")</f>
        <v/>
      </c>
      <c r="J135" s="2" t="s">
        <v>463</v>
      </c>
      <c r="K135" s="6" t="s">
        <v>25</v>
      </c>
      <c r="L135" s="7"/>
      <c r="M135" s="8" t="str">
        <f aca="false">IF(L135="","",L135+4)</f>
        <v/>
      </c>
      <c r="N135" s="6"/>
      <c r="O135" s="9" t="str">
        <f aca="false">IF(N135="","",INDEX(Planes!$B$4:$B$6,MATCH(N135,Planes!$A$4:$A$6,0)))</f>
        <v/>
      </c>
      <c r="P135" s="6" t="s">
        <v>360</v>
      </c>
      <c r="Q135" s="6"/>
      <c r="R135" s="2" t="s">
        <v>193</v>
      </c>
      <c r="S135" s="5" t="str">
        <f aca="false">HYPERLINK("https://directorio-empresas.einforma.co/informacion-empresa/tres-sas","Ver fuente")</f>
        <v>Ver fuente</v>
      </c>
    </row>
    <row r="136" customFormat="false" ht="15" hidden="false" customHeight="false" outlineLevel="0" collapsed="false">
      <c r="A136" s="2" t="n">
        <v>135</v>
      </c>
      <c r="B136" s="11" t="s">
        <v>343</v>
      </c>
      <c r="C136" s="2" t="s">
        <v>464</v>
      </c>
      <c r="D136" s="2" t="s">
        <v>59</v>
      </c>
      <c r="E136" s="2"/>
      <c r="F136" s="2" t="s">
        <v>2</v>
      </c>
      <c r="G136" s="4" t="s">
        <v>465</v>
      </c>
      <c r="H136" s="2" t="str">
        <f aca="false">IF(G136="","Sin número",IF(LEFT(G136,1)="3","Celular","Fijo"))</f>
        <v>Fijo</v>
      </c>
      <c r="I136" s="5" t="str">
        <f aca="false">IF(H136="Celular",HYPERLINK("https://wa.me/57"&amp;G136,"Abrir chat"),"")</f>
        <v/>
      </c>
      <c r="J136" s="2"/>
      <c r="K136" s="6" t="s">
        <v>25</v>
      </c>
      <c r="L136" s="7"/>
      <c r="M136" s="8" t="str">
        <f aca="false">IF(L136="","",L136+4)</f>
        <v/>
      </c>
      <c r="N136" s="6"/>
      <c r="O136" s="9" t="str">
        <f aca="false">IF(N136="","",INDEX(Planes!$B$4:$B$6,MATCH(N136,Planes!$A$4:$A$6,0)))</f>
        <v/>
      </c>
      <c r="P136" s="6" t="s">
        <v>360</v>
      </c>
      <c r="Q136" s="6"/>
      <c r="R136" s="2" t="s">
        <v>193</v>
      </c>
      <c r="S136" s="5" t="str">
        <f aca="false">HYPERLINK("https://www.informacolombia.com/directorio-empresas/actividad/5611_EXPENDIO-A-LA-MESA-DE-COMIDAS-PREPARADAS?qPg=17","Ver fuente")</f>
        <v>Ver fuente</v>
      </c>
    </row>
    <row r="137" customFormat="false" ht="15" hidden="false" customHeight="false" outlineLevel="0" collapsed="false">
      <c r="A137" s="2" t="n">
        <v>136</v>
      </c>
      <c r="B137" s="11" t="s">
        <v>343</v>
      </c>
      <c r="C137" s="2" t="s">
        <v>466</v>
      </c>
      <c r="D137" s="2" t="s">
        <v>59</v>
      </c>
      <c r="E137" s="2" t="s">
        <v>64</v>
      </c>
      <c r="F137" s="2" t="s">
        <v>124</v>
      </c>
      <c r="G137" s="4" t="s">
        <v>467</v>
      </c>
      <c r="H137" s="2" t="str">
        <f aca="false">IF(G137="","Sin número",IF(LEFT(G137,1)="3","Celular","Fijo"))</f>
        <v>Fijo</v>
      </c>
      <c r="I137" s="5" t="str">
        <f aca="false">IF(H137="Celular",HYPERLINK("https://wa.me/57"&amp;G137,"Abrir chat"),"")</f>
        <v/>
      </c>
      <c r="J137" s="2" t="s">
        <v>468</v>
      </c>
      <c r="K137" s="6" t="s">
        <v>25</v>
      </c>
      <c r="L137" s="7"/>
      <c r="M137" s="8" t="str">
        <f aca="false">IF(L137="","",L137+4)</f>
        <v/>
      </c>
      <c r="N137" s="6"/>
      <c r="O137" s="9" t="str">
        <f aca="false">IF(N137="","",INDEX(Planes!$B$4:$B$6,MATCH(N137,Planes!$A$4:$A$6,0)))</f>
        <v/>
      </c>
      <c r="P137" s="6" t="s">
        <v>360</v>
      </c>
      <c r="Q137" s="6"/>
      <c r="R137" s="2" t="s">
        <v>193</v>
      </c>
      <c r="S137" s="5" t="str">
        <f aca="false">HYPERLINK("https://www.informacolombia.com/directorio-empresas/informacion-empresa/laureles-peruano-sas","Ver fuente")</f>
        <v>Ver fuente</v>
      </c>
    </row>
    <row r="138" customFormat="false" ht="15" hidden="false" customHeight="false" outlineLevel="0" collapsed="false">
      <c r="A138" s="2" t="n">
        <v>137</v>
      </c>
      <c r="B138" s="11" t="s">
        <v>343</v>
      </c>
      <c r="C138" s="2" t="s">
        <v>469</v>
      </c>
      <c r="D138" s="2" t="s">
        <v>59</v>
      </c>
      <c r="E138" s="2"/>
      <c r="F138" s="2" t="s">
        <v>2</v>
      </c>
      <c r="G138" s="4" t="s">
        <v>470</v>
      </c>
      <c r="H138" s="2" t="str">
        <f aca="false">IF(G138="","Sin número",IF(LEFT(G138,1)="3","Celular","Fijo"))</f>
        <v>Fijo</v>
      </c>
      <c r="I138" s="5" t="str">
        <f aca="false">IF(H138="Celular",HYPERLINK("https://wa.me/57"&amp;G138,"Abrir chat"),"")</f>
        <v/>
      </c>
      <c r="J138" s="2"/>
      <c r="K138" s="6" t="s">
        <v>25</v>
      </c>
      <c r="L138" s="7"/>
      <c r="M138" s="8" t="str">
        <f aca="false">IF(L138="","",L138+4)</f>
        <v/>
      </c>
      <c r="N138" s="6"/>
      <c r="O138" s="9" t="str">
        <f aca="false">IF(N138="","",INDEX(Planes!$B$4:$B$6,MATCH(N138,Planes!$A$4:$A$6,0)))</f>
        <v/>
      </c>
      <c r="P138" s="6" t="s">
        <v>360</v>
      </c>
      <c r="Q138" s="6"/>
      <c r="R138" s="2" t="s">
        <v>193</v>
      </c>
      <c r="S138" s="5" t="str">
        <f aca="false">HYPERLINK("https://www.informacolombia.com/directorio-empresas/actividad/5611_EXPENDIO-A-LA-MESA-DE-COMIDAS-PREPARADAS/localidad_medellin?qPg=2","Ver fuente")</f>
        <v>Ver fuente</v>
      </c>
    </row>
    <row r="139" customFormat="false" ht="15" hidden="false" customHeight="false" outlineLevel="0" collapsed="false">
      <c r="A139" s="2" t="n">
        <v>138</v>
      </c>
      <c r="B139" s="11" t="s">
        <v>343</v>
      </c>
      <c r="C139" s="2" t="s">
        <v>471</v>
      </c>
      <c r="D139" s="2" t="s">
        <v>59</v>
      </c>
      <c r="E139" s="2"/>
      <c r="F139" s="2" t="s">
        <v>2</v>
      </c>
      <c r="G139" s="4" t="s">
        <v>472</v>
      </c>
      <c r="H139" s="2" t="str">
        <f aca="false">IF(G139="","Sin número",IF(LEFT(G139,1)="3","Celular","Fijo"))</f>
        <v>Fijo</v>
      </c>
      <c r="I139" s="5" t="str">
        <f aca="false">IF(H139="Celular",HYPERLINK("https://wa.me/57"&amp;G139,"Abrir chat"),"")</f>
        <v/>
      </c>
      <c r="J139" s="2" t="s">
        <v>473</v>
      </c>
      <c r="K139" s="6" t="s">
        <v>25</v>
      </c>
      <c r="L139" s="7"/>
      <c r="M139" s="8" t="str">
        <f aca="false">IF(L139="","",L139+4)</f>
        <v/>
      </c>
      <c r="N139" s="6"/>
      <c r="O139" s="9" t="str">
        <f aca="false">IF(N139="","",INDEX(Planes!$B$4:$B$6,MATCH(N139,Planes!$A$4:$A$6,0)))</f>
        <v/>
      </c>
      <c r="P139" s="6" t="s">
        <v>360</v>
      </c>
      <c r="Q139" s="6"/>
      <c r="R139" s="2" t="s">
        <v>193</v>
      </c>
      <c r="S139" s="5" t="str">
        <f aca="false">HYPERLINK("https://directorio-empresas.einforma.co/informacion-empresa/mal-sentados-sas","Ver fuente")</f>
        <v>Ver fuente</v>
      </c>
    </row>
    <row r="140" customFormat="false" ht="15" hidden="false" customHeight="false" outlineLevel="0" collapsed="false">
      <c r="A140" s="2" t="n">
        <v>139</v>
      </c>
      <c r="B140" s="11" t="s">
        <v>343</v>
      </c>
      <c r="C140" s="2" t="s">
        <v>474</v>
      </c>
      <c r="D140" s="2" t="s">
        <v>59</v>
      </c>
      <c r="E140" s="2"/>
      <c r="F140" s="2" t="s">
        <v>351</v>
      </c>
      <c r="G140" s="4" t="s">
        <v>475</v>
      </c>
      <c r="H140" s="2" t="str">
        <f aca="false">IF(G140="","Sin número",IF(LEFT(G140,1)="3","Celular","Fijo"))</f>
        <v>Celular</v>
      </c>
      <c r="I140" s="5" t="str">
        <f aca="false">IF(H140="Celular",HYPERLINK("https://wa.me/57"&amp;G140,"Abrir chat"),"")</f>
        <v>Abrir chat</v>
      </c>
      <c r="J140" s="2" t="s">
        <v>476</v>
      </c>
      <c r="K140" s="6" t="s">
        <v>25</v>
      </c>
      <c r="L140" s="7"/>
      <c r="M140" s="8" t="str">
        <f aca="false">IF(L140="","",L140+4)</f>
        <v/>
      </c>
      <c r="N140" s="6"/>
      <c r="O140" s="9" t="str">
        <f aca="false">IF(N140="","",INDEX(Planes!$B$4:$B$6,MATCH(N140,Planes!$A$4:$A$6,0)))</f>
        <v/>
      </c>
      <c r="P140" s="6" t="s">
        <v>192</v>
      </c>
      <c r="Q140" s="6"/>
      <c r="R140" s="2" t="s">
        <v>193</v>
      </c>
      <c r="S140" s="5" t="str">
        <f aca="false">HYPERLINK("https://www.informacolombia.com/directorio-empresas/informacion-empresa/medellin-777-sas","Ver fuente")</f>
        <v>Ver fuente</v>
      </c>
    </row>
    <row r="141" customFormat="false" ht="15" hidden="false" customHeight="false" outlineLevel="0" collapsed="false">
      <c r="A141" s="2" t="n">
        <v>140</v>
      </c>
      <c r="B141" s="11" t="s">
        <v>343</v>
      </c>
      <c r="C141" s="2" t="s">
        <v>477</v>
      </c>
      <c r="D141" s="2" t="s">
        <v>59</v>
      </c>
      <c r="E141" s="2"/>
      <c r="F141" s="2" t="s">
        <v>316</v>
      </c>
      <c r="G141" s="4" t="s">
        <v>478</v>
      </c>
      <c r="H141" s="2" t="str">
        <f aca="false">IF(G141="","Sin número",IF(LEFT(G141,1)="3","Celular","Fijo"))</f>
        <v>Celular</v>
      </c>
      <c r="I141" s="5" t="str">
        <f aca="false">IF(H141="Celular",HYPERLINK("https://wa.me/57"&amp;G141,"Abrir chat"),"")</f>
        <v>Abrir chat</v>
      </c>
      <c r="J141" s="2"/>
      <c r="K141" s="6" t="s">
        <v>25</v>
      </c>
      <c r="L141" s="7"/>
      <c r="M141" s="8" t="str">
        <f aca="false">IF(L141="","",L141+4)</f>
        <v/>
      </c>
      <c r="N141" s="6"/>
      <c r="O141" s="9" t="str">
        <f aca="false">IF(N141="","",INDEX(Planes!$B$4:$B$6,MATCH(N141,Planes!$A$4:$A$6,0)))</f>
        <v/>
      </c>
      <c r="P141" s="6" t="s">
        <v>192</v>
      </c>
      <c r="Q141" s="6"/>
      <c r="R141" s="2" t="s">
        <v>193</v>
      </c>
      <c r="S141" s="5" t="str">
        <f aca="false">HYPERLINK("https://www.informacolombia.com/directorio-empresas/actividad/5611_EXPENDIO-A-LA-MESA-DE-COMIDAS-PREPARADAS/localidad_medellin?qPg=2","Ver fuente")</f>
        <v>Ver fuente</v>
      </c>
    </row>
    <row r="142" customFormat="false" ht="15" hidden="false" customHeight="false" outlineLevel="0" collapsed="false">
      <c r="A142" s="2" t="n">
        <v>141</v>
      </c>
      <c r="B142" s="11" t="s">
        <v>343</v>
      </c>
      <c r="C142" s="2" t="s">
        <v>479</v>
      </c>
      <c r="D142" s="2" t="s">
        <v>59</v>
      </c>
      <c r="E142" s="2"/>
      <c r="F142" s="2" t="s">
        <v>402</v>
      </c>
      <c r="G142" s="4" t="s">
        <v>480</v>
      </c>
      <c r="H142" s="2" t="str">
        <f aca="false">IF(G142="","Sin número",IF(LEFT(G142,1)="3","Celular","Fijo"))</f>
        <v>Celular</v>
      </c>
      <c r="I142" s="5" t="str">
        <f aca="false">IF(H142="Celular",HYPERLINK("https://wa.me/57"&amp;G142,"Abrir chat"),"")</f>
        <v>Abrir chat</v>
      </c>
      <c r="J142" s="2"/>
      <c r="K142" s="6" t="s">
        <v>25</v>
      </c>
      <c r="L142" s="7"/>
      <c r="M142" s="8" t="str">
        <f aca="false">IF(L142="","",L142+4)</f>
        <v/>
      </c>
      <c r="N142" s="6"/>
      <c r="O142" s="9" t="str">
        <f aca="false">IF(N142="","",INDEX(Planes!$B$4:$B$6,MATCH(N142,Planes!$A$4:$A$6,0)))</f>
        <v/>
      </c>
      <c r="P142" s="6" t="s">
        <v>192</v>
      </c>
      <c r="Q142" s="6"/>
      <c r="R142" s="2" t="s">
        <v>193</v>
      </c>
      <c r="S142" s="5" t="str">
        <f aca="false">HYPERLINK("https://www.informacolombia.com/directorio-empresas/informacion-empresa/molido-cafe-pan-sas","Ver fuente")</f>
        <v>Ver fuente</v>
      </c>
    </row>
    <row r="143" customFormat="false" ht="15" hidden="false" customHeight="false" outlineLevel="0" collapsed="false">
      <c r="A143" s="2" t="n">
        <v>142</v>
      </c>
      <c r="B143" s="11" t="s">
        <v>343</v>
      </c>
      <c r="C143" s="2" t="s">
        <v>481</v>
      </c>
      <c r="D143" s="2" t="s">
        <v>59</v>
      </c>
      <c r="E143" s="2" t="s">
        <v>60</v>
      </c>
      <c r="F143" s="2" t="s">
        <v>482</v>
      </c>
      <c r="G143" s="4" t="s">
        <v>483</v>
      </c>
      <c r="H143" s="2" t="str">
        <f aca="false">IF(G143="","Sin número",IF(LEFT(G143,1)="3","Celular","Fijo"))</f>
        <v>Fijo</v>
      </c>
      <c r="I143" s="5" t="str">
        <f aca="false">IF(H143="Celular",HYPERLINK("https://wa.me/57"&amp;G143,"Abrir chat"),"")</f>
        <v/>
      </c>
      <c r="J143" s="2" t="s">
        <v>484</v>
      </c>
      <c r="K143" s="6" t="s">
        <v>25</v>
      </c>
      <c r="L143" s="7"/>
      <c r="M143" s="8" t="str">
        <f aca="false">IF(L143="","",L143+4)</f>
        <v/>
      </c>
      <c r="N143" s="6"/>
      <c r="O143" s="9" t="str">
        <f aca="false">IF(N143="","",INDEX(Planes!$B$4:$B$6,MATCH(N143,Planes!$A$4:$A$6,0)))</f>
        <v/>
      </c>
      <c r="P143" s="6" t="s">
        <v>360</v>
      </c>
      <c r="Q143" s="6"/>
      <c r="R143" s="2" t="s">
        <v>193</v>
      </c>
      <c r="S143" s="5" t="str">
        <f aca="false">HYPERLINK("https://directorio-empresas.einforma.co/informacion-empresa/mundo-verde-salud-gourmet-sa","Ver fuente")</f>
        <v>Ver fuente</v>
      </c>
    </row>
    <row r="144" customFormat="false" ht="15" hidden="false" customHeight="false" outlineLevel="0" collapsed="false">
      <c r="A144" s="2" t="n">
        <v>143</v>
      </c>
      <c r="B144" s="11" t="s">
        <v>343</v>
      </c>
      <c r="C144" s="2" t="s">
        <v>485</v>
      </c>
      <c r="D144" s="2" t="s">
        <v>59</v>
      </c>
      <c r="E144" s="2"/>
      <c r="F144" s="2" t="s">
        <v>2</v>
      </c>
      <c r="G144" s="4" t="s">
        <v>486</v>
      </c>
      <c r="H144" s="2" t="str">
        <f aca="false">IF(G144="","Sin número",IF(LEFT(G144,1)="3","Celular","Fijo"))</f>
        <v>Fijo</v>
      </c>
      <c r="I144" s="5" t="str">
        <f aca="false">IF(H144="Celular",HYPERLINK("https://wa.me/57"&amp;G144,"Abrir chat"),"")</f>
        <v/>
      </c>
      <c r="J144" s="2" t="s">
        <v>487</v>
      </c>
      <c r="K144" s="6" t="s">
        <v>25</v>
      </c>
      <c r="L144" s="7"/>
      <c r="M144" s="8" t="str">
        <f aca="false">IF(L144="","",L144+4)</f>
        <v/>
      </c>
      <c r="N144" s="6"/>
      <c r="O144" s="9" t="str">
        <f aca="false">IF(N144="","",INDEX(Planes!$B$4:$B$6,MATCH(N144,Planes!$A$4:$A$6,0)))</f>
        <v/>
      </c>
      <c r="P144" s="6" t="s">
        <v>360</v>
      </c>
      <c r="Q144" s="6"/>
      <c r="R144" s="2" t="s">
        <v>193</v>
      </c>
      <c r="S144" s="5" t="str">
        <f aca="false">HYPERLINK("https://www.informacolombia.com/directorio-empresas/informacion-empresa/nutriendo-almas-sas","Ver fuente")</f>
        <v>Ver fuente</v>
      </c>
    </row>
    <row r="145" customFormat="false" ht="15" hidden="false" customHeight="false" outlineLevel="0" collapsed="false">
      <c r="A145" s="2" t="n">
        <v>144</v>
      </c>
      <c r="B145" s="11" t="s">
        <v>343</v>
      </c>
      <c r="C145" s="2" t="s">
        <v>488</v>
      </c>
      <c r="D145" s="2" t="s">
        <v>59</v>
      </c>
      <c r="E145" s="2"/>
      <c r="F145" s="2" t="s">
        <v>345</v>
      </c>
      <c r="G145" s="4" t="s">
        <v>489</v>
      </c>
      <c r="H145" s="2" t="str">
        <f aca="false">IF(G145="","Sin número",IF(LEFT(G145,1)="3","Celular","Fijo"))</f>
        <v>Celular</v>
      </c>
      <c r="I145" s="5" t="str">
        <f aca="false">IF(H145="Celular",HYPERLINK("https://wa.me/57"&amp;G145,"Abrir chat"),"")</f>
        <v>Abrir chat</v>
      </c>
      <c r="J145" s="2" t="s">
        <v>490</v>
      </c>
      <c r="K145" s="6" t="s">
        <v>25</v>
      </c>
      <c r="L145" s="7"/>
      <c r="M145" s="8" t="str">
        <f aca="false">IF(L145="","",L145+4)</f>
        <v/>
      </c>
      <c r="N145" s="6"/>
      <c r="O145" s="9" t="str">
        <f aca="false">IF(N145="","",INDEX(Planes!$B$4:$B$6,MATCH(N145,Planes!$A$4:$A$6,0)))</f>
        <v/>
      </c>
      <c r="P145" s="6" t="s">
        <v>192</v>
      </c>
      <c r="Q145" s="6"/>
      <c r="R145" s="2" t="s">
        <v>193</v>
      </c>
      <c r="S145" s="5" t="str">
        <f aca="false">HYPERLINK("https://www.informacolombia.com/directorio-empresas/informacion-empresa/oasis-club-cafe-sas","Ver fuente")</f>
        <v>Ver fuente</v>
      </c>
    </row>
    <row r="146" customFormat="false" ht="15" hidden="false" customHeight="false" outlineLevel="0" collapsed="false">
      <c r="A146" s="2" t="n">
        <v>145</v>
      </c>
      <c r="B146" s="11" t="s">
        <v>343</v>
      </c>
      <c r="C146" s="2" t="s">
        <v>491</v>
      </c>
      <c r="D146" s="2" t="s">
        <v>59</v>
      </c>
      <c r="E146" s="2"/>
      <c r="F146" s="2" t="s">
        <v>358</v>
      </c>
      <c r="G146" s="4" t="s">
        <v>492</v>
      </c>
      <c r="H146" s="2" t="str">
        <f aca="false">IF(G146="","Sin número",IF(LEFT(G146,1)="3","Celular","Fijo"))</f>
        <v>Fijo</v>
      </c>
      <c r="I146" s="5" t="str">
        <f aca="false">IF(H146="Celular",HYPERLINK("https://wa.me/57"&amp;G146,"Abrir chat"),"")</f>
        <v/>
      </c>
      <c r="J146" s="2"/>
      <c r="K146" s="6" t="s">
        <v>25</v>
      </c>
      <c r="L146" s="7"/>
      <c r="M146" s="8" t="str">
        <f aca="false">IF(L146="","",L146+4)</f>
        <v/>
      </c>
      <c r="N146" s="6"/>
      <c r="O146" s="9" t="str">
        <f aca="false">IF(N146="","",INDEX(Planes!$B$4:$B$6,MATCH(N146,Planes!$A$4:$A$6,0)))</f>
        <v/>
      </c>
      <c r="P146" s="6" t="s">
        <v>360</v>
      </c>
      <c r="Q146" s="6"/>
      <c r="R146" s="2" t="s">
        <v>193</v>
      </c>
      <c r="S146" s="5" t="str">
        <f aca="false">HYPERLINK("https://www.informacolombia.com/directorio-empresas/actividad/5619_OTROS-TIPOS-DE-EXPENDIO-DE-COMIDAS-PREPARADAS-N-C-P/localidad_medellin","Ver fuente")</f>
        <v>Ver fuente</v>
      </c>
    </row>
    <row r="147" customFormat="false" ht="15" hidden="false" customHeight="false" outlineLevel="0" collapsed="false">
      <c r="A147" s="2" t="n">
        <v>146</v>
      </c>
      <c r="B147" s="11" t="s">
        <v>343</v>
      </c>
      <c r="C147" s="2" t="s">
        <v>493</v>
      </c>
      <c r="D147" s="2" t="s">
        <v>59</v>
      </c>
      <c r="E147" s="2"/>
      <c r="F147" s="2" t="s">
        <v>111</v>
      </c>
      <c r="G147" s="4" t="s">
        <v>494</v>
      </c>
      <c r="H147" s="2" t="str">
        <f aca="false">IF(G147="","Sin número",IF(LEFT(G147,1)="3","Celular","Fijo"))</f>
        <v>Fijo</v>
      </c>
      <c r="I147" s="5" t="str">
        <f aca="false">IF(H147="Celular",HYPERLINK("https://wa.me/57"&amp;G147,"Abrir chat"),"")</f>
        <v/>
      </c>
      <c r="J147" s="2" t="s">
        <v>495</v>
      </c>
      <c r="K147" s="6" t="s">
        <v>25</v>
      </c>
      <c r="L147" s="7"/>
      <c r="M147" s="8" t="str">
        <f aca="false">IF(L147="","",L147+4)</f>
        <v/>
      </c>
      <c r="N147" s="6"/>
      <c r="O147" s="9" t="str">
        <f aca="false">IF(N147="","",INDEX(Planes!$B$4:$B$6,MATCH(N147,Planes!$A$4:$A$6,0)))</f>
        <v/>
      </c>
      <c r="P147" s="6" t="s">
        <v>360</v>
      </c>
      <c r="Q147" s="6"/>
      <c r="R147" s="2" t="s">
        <v>193</v>
      </c>
      <c r="S147" s="5" t="str">
        <f aca="false">HYPERLINK("https://www.informacolombia.com/directorio-empresas/informacion-empresa/pizza-americana-sas","Ver fuente")</f>
        <v>Ver fuente</v>
      </c>
    </row>
    <row r="148" customFormat="false" ht="15" hidden="false" customHeight="false" outlineLevel="0" collapsed="false">
      <c r="A148" s="2" t="n">
        <v>147</v>
      </c>
      <c r="B148" s="11" t="s">
        <v>343</v>
      </c>
      <c r="C148" s="2" t="s">
        <v>496</v>
      </c>
      <c r="D148" s="2" t="s">
        <v>59</v>
      </c>
      <c r="E148" s="2" t="s">
        <v>60</v>
      </c>
      <c r="F148" s="2" t="s">
        <v>497</v>
      </c>
      <c r="G148" s="4" t="s">
        <v>498</v>
      </c>
      <c r="H148" s="2" t="str">
        <f aca="false">IF(G148="","Sin número",IF(LEFT(G148,1)="3","Celular","Fijo"))</f>
        <v>Fijo</v>
      </c>
      <c r="I148" s="5" t="str">
        <f aca="false">IF(H148="Celular",HYPERLINK("https://wa.me/57"&amp;G148,"Abrir chat"),"")</f>
        <v/>
      </c>
      <c r="J148" s="2" t="s">
        <v>499</v>
      </c>
      <c r="K148" s="6" t="s">
        <v>25</v>
      </c>
      <c r="L148" s="7"/>
      <c r="M148" s="8" t="str">
        <f aca="false">IF(L148="","",L148+4)</f>
        <v/>
      </c>
      <c r="N148" s="6"/>
      <c r="O148" s="9" t="str">
        <f aca="false">IF(N148="","",INDEX(Planes!$B$4:$B$6,MATCH(N148,Planes!$A$4:$A$6,0)))</f>
        <v/>
      </c>
      <c r="P148" s="6" t="s">
        <v>360</v>
      </c>
      <c r="Q148" s="6"/>
      <c r="R148" s="2" t="s">
        <v>193</v>
      </c>
      <c r="S148" s="5" t="str">
        <f aca="false">HYPERLINK("https://www.informacolombia.com/directorio-empresas/informacion-empresa/rico-pa-llevar1-sas","Ver fuente")</f>
        <v>Ver fuente</v>
      </c>
    </row>
    <row r="149" customFormat="false" ht="15" hidden="false" customHeight="false" outlineLevel="0" collapsed="false">
      <c r="A149" s="2" t="n">
        <v>148</v>
      </c>
      <c r="B149" s="11" t="s">
        <v>343</v>
      </c>
      <c r="C149" s="2" t="s">
        <v>500</v>
      </c>
      <c r="D149" s="2" t="s">
        <v>59</v>
      </c>
      <c r="E149" s="2" t="s">
        <v>64</v>
      </c>
      <c r="F149" s="2" t="s">
        <v>501</v>
      </c>
      <c r="G149" s="4" t="s">
        <v>502</v>
      </c>
      <c r="H149" s="2" t="str">
        <f aca="false">IF(G149="","Sin número",IF(LEFT(G149,1)="3","Celular","Fijo"))</f>
        <v>Celular</v>
      </c>
      <c r="I149" s="5" t="str">
        <f aca="false">IF(H149="Celular",HYPERLINK("https://wa.me/57"&amp;G149,"Abrir chat"),"")</f>
        <v>Abrir chat</v>
      </c>
      <c r="J149" s="2" t="s">
        <v>503</v>
      </c>
      <c r="K149" s="6" t="s">
        <v>25</v>
      </c>
      <c r="L149" s="7"/>
      <c r="M149" s="8" t="str">
        <f aca="false">IF(L149="","",L149+4)</f>
        <v/>
      </c>
      <c r="N149" s="6"/>
      <c r="O149" s="9" t="str">
        <f aca="false">IF(N149="","",INDEX(Planes!$B$4:$B$6,MATCH(N149,Planes!$A$4:$A$6,0)))</f>
        <v/>
      </c>
      <c r="P149" s="6" t="s">
        <v>192</v>
      </c>
      <c r="Q149" s="6"/>
      <c r="R149" s="2" t="s">
        <v>193</v>
      </c>
      <c r="S149" s="5" t="str">
        <f aca="false">HYPERLINK("https://www.informacolombia.com/directorio-empresas/informacion-empresa/roll-company-sas","Ver fuente")</f>
        <v>Ver fuente</v>
      </c>
    </row>
    <row r="150" customFormat="false" ht="15" hidden="false" customHeight="false" outlineLevel="0" collapsed="false">
      <c r="A150" s="2" t="n">
        <v>149</v>
      </c>
      <c r="B150" s="11" t="s">
        <v>343</v>
      </c>
      <c r="C150" s="2" t="s">
        <v>504</v>
      </c>
      <c r="D150" s="2" t="s">
        <v>59</v>
      </c>
      <c r="E150" s="2"/>
      <c r="F150" s="2" t="s">
        <v>505</v>
      </c>
      <c r="G150" s="4" t="s">
        <v>506</v>
      </c>
      <c r="H150" s="2" t="str">
        <f aca="false">IF(G150="","Sin número",IF(LEFT(G150,1)="3","Celular","Fijo"))</f>
        <v>Fijo</v>
      </c>
      <c r="I150" s="5" t="str">
        <f aca="false">IF(H150="Celular",HYPERLINK("https://wa.me/57"&amp;G150,"Abrir chat"),"")</f>
        <v/>
      </c>
      <c r="J150" s="2"/>
      <c r="K150" s="6" t="s">
        <v>25</v>
      </c>
      <c r="L150" s="7"/>
      <c r="M150" s="8" t="str">
        <f aca="false">IF(L150="","",L150+4)</f>
        <v/>
      </c>
      <c r="N150" s="6"/>
      <c r="O150" s="9" t="str">
        <f aca="false">IF(N150="","",INDEX(Planes!$B$4:$B$6,MATCH(N150,Planes!$A$4:$A$6,0)))</f>
        <v/>
      </c>
      <c r="P150" s="6" t="s">
        <v>360</v>
      </c>
      <c r="Q150" s="6"/>
      <c r="R150" s="2" t="s">
        <v>193</v>
      </c>
      <c r="S150" s="5" t="str">
        <f aca="false">HYPERLINK("https://www.informacolombia.com/directorio-empresas/actividad/5611_EXPENDIO-A-LA-MESA-DE-COMIDAS-PREPARADAS/localidad_medellin?qPg=2","Ver fuente")</f>
        <v>Ver fuente</v>
      </c>
    </row>
    <row r="151" customFormat="false" ht="15" hidden="false" customHeight="false" outlineLevel="0" collapsed="false">
      <c r="A151" s="2" t="n">
        <v>150</v>
      </c>
      <c r="B151" s="11" t="s">
        <v>343</v>
      </c>
      <c r="C151" s="2" t="s">
        <v>507</v>
      </c>
      <c r="D151" s="2" t="s">
        <v>59</v>
      </c>
      <c r="E151" s="2"/>
      <c r="F151" s="2" t="s">
        <v>231</v>
      </c>
      <c r="G151" s="4" t="s">
        <v>486</v>
      </c>
      <c r="H151" s="2" t="str">
        <f aca="false">IF(G151="","Sin número",IF(LEFT(G151,1)="3","Celular","Fijo"))</f>
        <v>Fijo</v>
      </c>
      <c r="I151" s="5" t="str">
        <f aca="false">IF(H151="Celular",HYPERLINK("https://wa.me/57"&amp;G151,"Abrir chat"),"")</f>
        <v/>
      </c>
      <c r="J151" s="2"/>
      <c r="K151" s="6" t="s">
        <v>25</v>
      </c>
      <c r="L151" s="7"/>
      <c r="M151" s="8" t="str">
        <f aca="false">IF(L151="","",L151+4)</f>
        <v/>
      </c>
      <c r="N151" s="6"/>
      <c r="O151" s="9" t="str">
        <f aca="false">IF(N151="","",INDEX(Planes!$B$4:$B$6,MATCH(N151,Planes!$A$4:$A$6,0)))</f>
        <v/>
      </c>
      <c r="P151" s="6" t="s">
        <v>360</v>
      </c>
      <c r="Q151" s="6"/>
      <c r="R151" s="2" t="s">
        <v>193</v>
      </c>
      <c r="S151" s="5" t="str">
        <f aca="false">HYPERLINK("https://www.informacolombia.com/directorio-empresas/informacion-empresa/somos-uno-resto-cafe-sas","Ver fuente")</f>
        <v>Ver fuente</v>
      </c>
    </row>
    <row r="152" customFormat="false" ht="15" hidden="false" customHeight="false" outlineLevel="0" collapsed="false">
      <c r="A152" s="2" t="n">
        <v>151</v>
      </c>
      <c r="B152" s="11" t="s">
        <v>343</v>
      </c>
      <c r="C152" s="2" t="s">
        <v>508</v>
      </c>
      <c r="D152" s="2" t="s">
        <v>59</v>
      </c>
      <c r="E152" s="2" t="s">
        <v>64</v>
      </c>
      <c r="F152" s="2" t="s">
        <v>111</v>
      </c>
      <c r="G152" s="4" t="s">
        <v>509</v>
      </c>
      <c r="H152" s="2" t="str">
        <f aca="false">IF(G152="","Sin número",IF(LEFT(G152,1)="3","Celular","Fijo"))</f>
        <v>Fijo</v>
      </c>
      <c r="I152" s="5" t="str">
        <f aca="false">IF(H152="Celular",HYPERLINK("https://wa.me/57"&amp;G152,"Abrir chat"),"")</f>
        <v/>
      </c>
      <c r="J152" s="2" t="s">
        <v>510</v>
      </c>
      <c r="K152" s="6" t="s">
        <v>25</v>
      </c>
      <c r="L152" s="7"/>
      <c r="M152" s="8" t="str">
        <f aca="false">IF(L152="","",L152+4)</f>
        <v/>
      </c>
      <c r="N152" s="6"/>
      <c r="O152" s="9" t="str">
        <f aca="false">IF(N152="","",INDEX(Planes!$B$4:$B$6,MATCH(N152,Planes!$A$4:$A$6,0)))</f>
        <v/>
      </c>
      <c r="P152" s="6" t="s">
        <v>360</v>
      </c>
      <c r="Q152" s="6"/>
      <c r="R152" s="2" t="s">
        <v>193</v>
      </c>
      <c r="S152" s="5" t="str">
        <f aca="false">HYPERLINK("https://www.informacolombia.com/directorio-empresas/informacion-empresa/jugosa-ltda","Ver fuente")</f>
        <v>Ver fuente</v>
      </c>
    </row>
    <row r="153" customFormat="false" ht="15" hidden="false" customHeight="false" outlineLevel="0" collapsed="false">
      <c r="A153" s="2" t="n">
        <v>152</v>
      </c>
      <c r="B153" s="11" t="s">
        <v>343</v>
      </c>
      <c r="C153" s="2" t="s">
        <v>511</v>
      </c>
      <c r="D153" s="2" t="s">
        <v>59</v>
      </c>
      <c r="E153" s="2" t="s">
        <v>60</v>
      </c>
      <c r="F153" s="2" t="s">
        <v>215</v>
      </c>
      <c r="G153" s="4" t="s">
        <v>512</v>
      </c>
      <c r="H153" s="2" t="str">
        <f aca="false">IF(G153="","Sin número",IF(LEFT(G153,1)="3","Celular","Fijo"))</f>
        <v>Celular</v>
      </c>
      <c r="I153" s="5" t="str">
        <f aca="false">IF(H153="Celular",HYPERLINK("https://wa.me/57"&amp;G153,"Abrir chat"),"")</f>
        <v>Abrir chat</v>
      </c>
      <c r="J153" s="2" t="s">
        <v>513</v>
      </c>
      <c r="K153" s="6" t="s">
        <v>25</v>
      </c>
      <c r="L153" s="7"/>
      <c r="M153" s="8" t="str">
        <f aca="false">IF(L153="","",L153+4)</f>
        <v/>
      </c>
      <c r="N153" s="6"/>
      <c r="O153" s="9" t="str">
        <f aca="false">IF(N153="","",INDEX(Planes!$B$4:$B$6,MATCH(N153,Planes!$A$4:$A$6,0)))</f>
        <v/>
      </c>
      <c r="P153" s="6" t="s">
        <v>192</v>
      </c>
      <c r="Q153" s="6"/>
      <c r="R153" s="2" t="s">
        <v>193</v>
      </c>
      <c r="S153" s="5" t="str">
        <f aca="false">HYPERLINK("https://directorio-empresas.einforma.co/informacion-empresa/vegan-veggie-sas","Ver fuente")</f>
        <v>Ver fuente</v>
      </c>
    </row>
  </sheetData>
  <autoFilter ref="A1:S153"/>
  <conditionalFormatting sqref="A2:S153">
    <cfRule type="expression" priority="2" aboveAverage="0" equalAverage="0" bottom="0" percent="0" rank="0" text="" dxfId="8">
      <formula>$K2="Cliente"</formula>
    </cfRule>
    <cfRule type="expression" priority="3" aboveAverage="0" equalAverage="0" bottom="0" percent="0" rank="0" text="" dxfId="9">
      <formula>$K2="Demo agendada"</formula>
    </cfRule>
    <cfRule type="expression" priority="4" aboveAverage="0" equalAverage="0" bottom="0" percent="0" rank="0" text="" dxfId="9">
      <formula>$K2="En prueba"</formula>
    </cfRule>
    <cfRule type="expression" priority="5" aboveAverage="0" equalAverage="0" bottom="0" percent="0" rank="0" text="" dxfId="10">
      <formula>$K2="Respondió"</formula>
    </cfRule>
    <cfRule type="expression" priority="6" aboveAverage="0" equalAverage="0" bottom="0" percent="0" rank="0" text="" dxfId="11">
      <formula>$K2="No interesado"</formula>
    </cfRule>
    <cfRule type="expression" priority="7" aboveAverage="0" equalAverage="0" bottom="0" percent="0" rank="0" text="" dxfId="12">
      <formula>$K2="Número errado"</formula>
    </cfRule>
  </conditionalFormatting>
  <conditionalFormatting sqref="M2:M153">
    <cfRule type="expression" priority="8" aboveAverage="0" equalAverage="0" bottom="0" percent="0" rank="0" text="" dxfId="13">
      <formula>AND(M2&lt;&gt;"",M2&lt;=TODAY(),$K2="Mensaje enviado")</formula>
    </cfRule>
  </conditionalFormatting>
  <dataValidations count="3">
    <dataValidation allowBlank="true" errorStyle="stop" operator="between" showDropDown="false" showErrorMessage="false" showInputMessage="false" sqref="K2:K153" type="list">
      <formula1>"Por contactar,Mensaje enviado,Respondió,Demo agendada,En prueba,Cliente,No interesado,Número errado"</formula1>
      <formula2>0</formula2>
    </dataValidation>
    <dataValidation allowBlank="true" errorStyle="stop" operator="between" showDropDown="false" showErrorMessage="false" showInputMessage="false" sqref="N2:N153" type="list">
      <formula1>"Básico,Avanzado,Premium"</formula1>
      <formula2>0</formula2>
    </dataValidation>
    <dataValidation allowBlank="true" error="Escriba una fecha (dd/mm/aaaa)" errorStyle="stop" operator="greaterThan" showDropDown="false" showErrorMessage="false" showInputMessage="false" sqref="L2:L153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2" t="s">
        <v>514</v>
      </c>
    </row>
    <row r="2" customFormat="false" ht="15" hidden="false" customHeight="false" outlineLevel="0" collapsed="false">
      <c r="A2" s="13" t="s">
        <v>515</v>
      </c>
    </row>
    <row r="4" customFormat="false" ht="15" hidden="false" customHeight="false" outlineLevel="0" collapsed="false">
      <c r="A4" s="14" t="s">
        <v>10</v>
      </c>
      <c r="B4" s="14" t="s">
        <v>516</v>
      </c>
      <c r="C4" s="14" t="s">
        <v>517</v>
      </c>
    </row>
    <row r="5" customFormat="false" ht="15" hidden="false" customHeight="false" outlineLevel="0" collapsed="false">
      <c r="A5" s="15" t="s">
        <v>25</v>
      </c>
      <c r="B5" s="15" t="n">
        <f aca="false">COUNTIF(Restaurantes!$K$2:$K$153,A5)</f>
        <v>152</v>
      </c>
      <c r="C5" s="16" t="n">
        <f aca="false">IF($B$13=0,0,B5/$B$13)</f>
        <v>1</v>
      </c>
    </row>
    <row r="6" customFormat="false" ht="15" hidden="false" customHeight="false" outlineLevel="0" collapsed="false">
      <c r="A6" s="15" t="s">
        <v>518</v>
      </c>
      <c r="B6" s="15" t="n">
        <f aca="false">COUNTIF(Restaurantes!$K$2:$K$153,A6)</f>
        <v>0</v>
      </c>
      <c r="C6" s="16" t="n">
        <f aca="false">IF($B$13=0,0,B6/$B$13)</f>
        <v>0</v>
      </c>
    </row>
    <row r="7" customFormat="false" ht="15" hidden="false" customHeight="false" outlineLevel="0" collapsed="false">
      <c r="A7" s="15" t="s">
        <v>519</v>
      </c>
      <c r="B7" s="15" t="n">
        <f aca="false">COUNTIF(Restaurantes!$K$2:$K$153,A7)</f>
        <v>0</v>
      </c>
      <c r="C7" s="16" t="n">
        <f aca="false">IF($B$13=0,0,B7/$B$13)</f>
        <v>0</v>
      </c>
    </row>
    <row r="8" customFormat="false" ht="15" hidden="false" customHeight="false" outlineLevel="0" collapsed="false">
      <c r="A8" s="15" t="s">
        <v>520</v>
      </c>
      <c r="B8" s="15" t="n">
        <f aca="false">COUNTIF(Restaurantes!$K$2:$K$153,A8)</f>
        <v>0</v>
      </c>
      <c r="C8" s="16" t="n">
        <f aca="false">IF($B$13=0,0,B8/$B$13)</f>
        <v>0</v>
      </c>
    </row>
    <row r="9" customFormat="false" ht="15" hidden="false" customHeight="false" outlineLevel="0" collapsed="false">
      <c r="A9" s="15" t="s">
        <v>521</v>
      </c>
      <c r="B9" s="15" t="n">
        <f aca="false">COUNTIF(Restaurantes!$K$2:$K$153,A9)</f>
        <v>0</v>
      </c>
      <c r="C9" s="16" t="n">
        <f aca="false">IF($B$13=0,0,B9/$B$13)</f>
        <v>0</v>
      </c>
    </row>
    <row r="10" customFormat="false" ht="15" hidden="false" customHeight="false" outlineLevel="0" collapsed="false">
      <c r="A10" s="15" t="s">
        <v>522</v>
      </c>
      <c r="B10" s="15" t="n">
        <f aca="false">COUNTIF(Restaurantes!$K$2:$K$153,A10)</f>
        <v>0</v>
      </c>
      <c r="C10" s="16" t="n">
        <f aca="false">IF($B$13=0,0,B10/$B$13)</f>
        <v>0</v>
      </c>
    </row>
    <row r="11" customFormat="false" ht="15" hidden="false" customHeight="false" outlineLevel="0" collapsed="false">
      <c r="A11" s="15" t="s">
        <v>523</v>
      </c>
      <c r="B11" s="15" t="n">
        <f aca="false">COUNTIF(Restaurantes!$K$2:$K$153,A11)</f>
        <v>0</v>
      </c>
      <c r="C11" s="16" t="n">
        <f aca="false">IF($B$13=0,0,B11/$B$13)</f>
        <v>0</v>
      </c>
    </row>
    <row r="12" customFormat="false" ht="15" hidden="false" customHeight="false" outlineLevel="0" collapsed="false">
      <c r="A12" s="15" t="s">
        <v>524</v>
      </c>
      <c r="B12" s="15" t="n">
        <f aca="false">COUNTIF(Restaurantes!$K$2:$K$153,A12)</f>
        <v>0</v>
      </c>
      <c r="C12" s="16" t="n">
        <f aca="false">IF($B$13=0,0,B12/$B$13)</f>
        <v>0</v>
      </c>
    </row>
    <row r="13" customFormat="false" ht="15" hidden="false" customHeight="false" outlineLevel="0" collapsed="false">
      <c r="A13" s="17" t="s">
        <v>525</v>
      </c>
      <c r="B13" s="17" t="n">
        <f aca="false">COUNTA(Restaurantes!$C$2:$C$153)</f>
        <v>152</v>
      </c>
      <c r="C13" s="16" t="n">
        <f aca="false">IF($B$13=0,0,B13/$B$13)</f>
        <v>1</v>
      </c>
    </row>
    <row r="14" customFormat="false" ht="15" hidden="false" customHeight="false" outlineLevel="0" collapsed="false">
      <c r="A14" s="15"/>
      <c r="B14" s="15"/>
      <c r="C14" s="15"/>
    </row>
    <row r="15" customFormat="false" ht="15" hidden="false" customHeight="false" outlineLevel="0" collapsed="false">
      <c r="A15" s="17" t="s">
        <v>526</v>
      </c>
      <c r="B15" s="15"/>
      <c r="C15" s="15"/>
    </row>
    <row r="16" customFormat="false" ht="15" hidden="false" customHeight="false" outlineLevel="0" collapsed="false">
      <c r="A16" s="15" t="s">
        <v>527</v>
      </c>
      <c r="B16" s="15" t="n">
        <f aca="false">B13-B5</f>
        <v>0</v>
      </c>
      <c r="C16" s="15"/>
    </row>
    <row r="17" customFormat="false" ht="15" hidden="false" customHeight="false" outlineLevel="0" collapsed="false">
      <c r="A17" s="15" t="s">
        <v>528</v>
      </c>
      <c r="B17" s="16" t="n">
        <f aca="false">IF(B16=0,0,(B7+B8+B9+B10+B11)/B16)</f>
        <v>0</v>
      </c>
      <c r="C17" s="15"/>
    </row>
    <row r="18" customFormat="false" ht="15" hidden="false" customHeight="false" outlineLevel="0" collapsed="false">
      <c r="A18" s="15" t="s">
        <v>529</v>
      </c>
      <c r="B18" s="15" t="n">
        <f aca="false">B8+B9+B10</f>
        <v>0</v>
      </c>
      <c r="C18" s="15"/>
    </row>
    <row r="19" customFormat="false" ht="15" hidden="false" customHeight="false" outlineLevel="0" collapsed="false">
      <c r="A19" s="15" t="s">
        <v>530</v>
      </c>
      <c r="B19" s="15" t="n">
        <f aca="false">B10</f>
        <v>0</v>
      </c>
      <c r="C19" s="15"/>
    </row>
    <row r="20" customFormat="false" ht="15" hidden="false" customHeight="false" outlineLevel="0" collapsed="false">
      <c r="A20" s="15" t="s">
        <v>531</v>
      </c>
      <c r="B20" s="18" t="n">
        <f aca="false">SUMIFS(Restaurantes!$O$2:$O$153,Restaurantes!$K$2:$K$153,"Cliente")</f>
        <v>0</v>
      </c>
      <c r="C20" s="15"/>
    </row>
    <row r="21" customFormat="false" ht="15" hidden="false" customHeight="false" outlineLevel="0" collapsed="false">
      <c r="A21" s="15" t="s">
        <v>532</v>
      </c>
      <c r="B21" s="15" t="n">
        <f aca="true">COUNTIFS(Restaurantes!$K$2:$K$153,"Mensaje enviado",Restaurantes!$M$2:$M$153,"&lt;="&amp;TODAY())</f>
        <v>0</v>
      </c>
      <c r="C21" s="15"/>
    </row>
    <row r="22" customFormat="false" ht="15" hidden="false" customHeight="false" outlineLevel="0" collapsed="false">
      <c r="A22" s="15" t="s">
        <v>533</v>
      </c>
      <c r="B22" s="15" t="n">
        <f aca="false">COUNTIF(Restaurantes!$H$2:$H$153,"Celular")</f>
        <v>109</v>
      </c>
      <c r="C22" s="15"/>
    </row>
    <row r="23" customFormat="false" ht="15" hidden="false" customHeight="false" outlineLevel="0" collapsed="false">
      <c r="A23" s="15" t="s">
        <v>534</v>
      </c>
      <c r="B23" s="15" t="n">
        <f aca="false">COUNTIF(Restaurantes!$D$2:$D$153,"Medellín")</f>
        <v>126</v>
      </c>
      <c r="C23" s="15"/>
    </row>
    <row r="24" customFormat="false" ht="15" hidden="false" customHeight="false" outlineLevel="0" collapsed="false">
      <c r="A24" s="15" t="s">
        <v>535</v>
      </c>
      <c r="B24" s="15" t="n">
        <f aca="false">COUNTIF(Restaurantes!$D$2:$D$153,"Bello")</f>
        <v>26</v>
      </c>
      <c r="C24" s="15"/>
    </row>
    <row r="25" customFormat="false" ht="15" hidden="false" customHeight="false" outlineLevel="0" collapsed="false">
      <c r="A25" s="15" t="s">
        <v>536</v>
      </c>
      <c r="B25" s="15" t="n">
        <f aca="false">COUNTIF(Restaurantes!$B$2:$B$153,"Alta")</f>
        <v>48</v>
      </c>
      <c r="C25" s="15"/>
    </row>
    <row r="26" customFormat="false" ht="15" hidden="false" customHeight="false" outlineLevel="0" collapsed="false">
      <c r="A26" s="15" t="s">
        <v>537</v>
      </c>
      <c r="B26" s="15" t="n">
        <f aca="false">COUNTIF(Restaurantes!$B$2:$B$153,"Media")</f>
        <v>49</v>
      </c>
      <c r="C26" s="15"/>
    </row>
    <row r="27" customFormat="false" ht="15" hidden="false" customHeight="false" outlineLevel="0" collapsed="false">
      <c r="A27" s="15" t="s">
        <v>538</v>
      </c>
      <c r="B27" s="15" t="n">
        <f aca="false">COUNTIF(Restaurantes!$B$2:$B$153,"Baja")</f>
        <v>55</v>
      </c>
      <c r="C27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10"/>
  </cols>
  <sheetData>
    <row r="1" customFormat="false" ht="17.35" hidden="false" customHeight="false" outlineLevel="0" collapsed="false">
      <c r="A1" s="12" t="s">
        <v>539</v>
      </c>
    </row>
    <row r="3" customFormat="false" ht="15" hidden="false" customHeight="false" outlineLevel="0" collapsed="false">
      <c r="A3" s="14" t="s">
        <v>540</v>
      </c>
      <c r="B3" s="14" t="s">
        <v>541</v>
      </c>
      <c r="C3" s="14" t="s">
        <v>542</v>
      </c>
      <c r="D3" s="14" t="s">
        <v>543</v>
      </c>
      <c r="E3" s="14" t="s">
        <v>544</v>
      </c>
    </row>
    <row r="4" customFormat="false" ht="15" hidden="false" customHeight="false" outlineLevel="0" collapsed="false">
      <c r="A4" s="19" t="s">
        <v>545</v>
      </c>
      <c r="B4" s="20" t="n">
        <v>350000</v>
      </c>
      <c r="C4" s="20" t="n">
        <v>200000</v>
      </c>
      <c r="D4" s="20" t="s">
        <v>546</v>
      </c>
      <c r="E4" s="21" t="s">
        <v>547</v>
      </c>
    </row>
    <row r="5" customFormat="false" ht="15" hidden="false" customHeight="false" outlineLevel="0" collapsed="false">
      <c r="A5" s="19" t="s">
        <v>548</v>
      </c>
      <c r="B5" s="20" t="n">
        <v>450000</v>
      </c>
      <c r="C5" s="20" t="n">
        <v>200000</v>
      </c>
      <c r="D5" s="20" t="n">
        <v>350000</v>
      </c>
      <c r="E5" s="21" t="s">
        <v>549</v>
      </c>
    </row>
    <row r="6" customFormat="false" ht="15" hidden="false" customHeight="false" outlineLevel="0" collapsed="false">
      <c r="A6" s="19" t="s">
        <v>550</v>
      </c>
      <c r="B6" s="20" t="n">
        <v>550000</v>
      </c>
      <c r="C6" s="20" t="n">
        <v>200000</v>
      </c>
      <c r="D6" s="20" t="n">
        <v>350000</v>
      </c>
      <c r="E6" s="21" t="s">
        <v>551</v>
      </c>
    </row>
    <row r="9" customFormat="false" ht="15" hidden="false" customHeight="false" outlineLevel="0" collapsed="false">
      <c r="A9" s="13" t="s">
        <v>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2" t="s">
        <v>553</v>
      </c>
    </row>
    <row r="3" customFormat="false" ht="60" hidden="false" customHeight="true" outlineLevel="0" collapsed="false">
      <c r="A3" s="19" t="s">
        <v>554</v>
      </c>
      <c r="B3" s="21" t="s">
        <v>555</v>
      </c>
    </row>
    <row r="4" customFormat="false" ht="60" hidden="false" customHeight="true" outlineLevel="0" collapsed="false">
      <c r="A4" s="19" t="s">
        <v>556</v>
      </c>
      <c r="B4" s="21" t="s">
        <v>557</v>
      </c>
    </row>
    <row r="5" customFormat="false" ht="60" hidden="false" customHeight="true" outlineLevel="0" collapsed="false">
      <c r="A5" s="19" t="s">
        <v>558</v>
      </c>
      <c r="B5" s="21" t="s">
        <v>559</v>
      </c>
    </row>
    <row r="6" customFormat="false" ht="60" hidden="false" customHeight="true" outlineLevel="0" collapsed="false">
      <c r="A6" s="19" t="s">
        <v>560</v>
      </c>
      <c r="B6" s="21" t="s">
        <v>561</v>
      </c>
    </row>
    <row r="7" customFormat="false" ht="60" hidden="false" customHeight="true" outlineLevel="0" collapsed="false">
      <c r="A7" s="19" t="s">
        <v>562</v>
      </c>
      <c r="B7" s="21" t="s">
        <v>563</v>
      </c>
    </row>
    <row r="8" customFormat="false" ht="60" hidden="false" customHeight="true" outlineLevel="0" collapsed="false">
      <c r="A8" s="19" t="s">
        <v>564</v>
      </c>
      <c r="B8" s="21" t="s">
        <v>565</v>
      </c>
    </row>
    <row r="9" customFormat="false" ht="60" hidden="false" customHeight="true" outlineLevel="0" collapsed="false">
      <c r="A9" s="19" t="s">
        <v>566</v>
      </c>
      <c r="B9" s="21" t="s">
        <v>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2" t="s">
        <v>568</v>
      </c>
    </row>
    <row r="3" customFormat="false" ht="31.5" hidden="false" customHeight="true" outlineLevel="0" collapsed="false">
      <c r="A3" s="21" t="s">
        <v>569</v>
      </c>
    </row>
    <row r="4" customFormat="false" ht="31.5" hidden="false" customHeight="true" outlineLevel="0" collapsed="false">
      <c r="A4" s="21" t="s">
        <v>570</v>
      </c>
    </row>
    <row r="5" customFormat="false" ht="31.5" hidden="false" customHeight="true" outlineLevel="0" collapsed="false">
      <c r="A5" s="21" t="s">
        <v>571</v>
      </c>
    </row>
    <row r="6" customFormat="false" ht="31.5" hidden="false" customHeight="true" outlineLevel="0" collapsed="false">
      <c r="A6" s="21" t="s">
        <v>572</v>
      </c>
    </row>
    <row r="7" customFormat="false" ht="31.5" hidden="false" customHeight="true" outlineLevel="0" collapsed="false">
      <c r="A7" s="21" t="s">
        <v>573</v>
      </c>
    </row>
    <row r="8" customFormat="false" ht="31.5" hidden="false" customHeight="true" outlineLevel="0" collapsed="false">
      <c r="A8" s="21" t="s">
        <v>574</v>
      </c>
    </row>
    <row r="9" customFormat="false" ht="31.5" hidden="false" customHeight="true" outlineLevel="0" collapsed="false">
      <c r="A9" s="21" t="s">
        <v>575</v>
      </c>
    </row>
    <row r="10" customFormat="false" ht="31.5" hidden="false" customHeight="true" outlineLevel="0" collapsed="false">
      <c r="A10" s="21" t="s">
        <v>576</v>
      </c>
    </row>
    <row r="11" customFormat="false" ht="31.5" hidden="false" customHeight="true" outlineLevel="0" collapsed="false">
      <c r="A11" s="21" t="s">
        <v>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2026-10-28T06:21:25Z</dcterms:created>
  <dc:creator>openpyxl</dc:creator>
  <dc:description/>
  <dc:language>en-US</dc:language>
  <cp:lastModifiedBy/>
  <dcterms:modified xsi:type="dcterms:W3CDTF">2026-10-28T06:21:25Z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