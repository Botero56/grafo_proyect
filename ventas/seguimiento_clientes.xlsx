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taurant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lanes" sheetId="3" state="visible" r:id="rId3"/>
    <sheet xmlns:r="http://schemas.openxmlformats.org/officeDocument/2006/relationships" name="Mensajes" sheetId="4" state="visible" r:id="rId4"/>
    <sheet xmlns:r="http://schemas.openxmlformats.org/officeDocument/2006/relationships" name="Cómo usar" sheetId="5" state="visible" r:id="rId5"/>
  </sheets>
  <definedNames>
    <definedName name="_xlnm._FilterDatabase" localSheetId="0" hidden="1">'Restaurantes'!$A$1:$S$153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-$#,##0;&quot;-&quot;"/>
    <numFmt numFmtId="165" formatCode="dd/mm/yyyy"/>
    <numFmt numFmtId="166" formatCode="$#,##0;-$#,##0;&quot;&quot;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4E5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5" fontId="6" fillId="3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5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8CBAD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573105435674?text=Buenas%2C%20%C2%BFhablo%20con%20A%20Otro%20Nivel%20Parrill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"/><Relationship Type="http://schemas.openxmlformats.org/officeDocument/2006/relationships/hyperlink" Target="https://wa.me/573224852584?text=Buenas%2C%20%C2%BFhablo%20con%20Aqu%C3%AD%20Fue%20Trapich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"/><Relationship Type="http://schemas.openxmlformats.org/officeDocument/2006/relationships/hyperlink" Target="https://wa.me/573232803762?text=Buenas%2C%20%C2%BFhablo%20con%20Family%20Restorant%20Bar%20%26%20Grill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"/><Relationship Type="http://schemas.openxmlformats.org/officeDocument/2006/relationships/hyperlink" Target="https://wa.me/573332578535?text=Buenas%2C%20%C2%BFhablo%20con%20GUSLAB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4"/><Relationship Type="http://schemas.openxmlformats.org/officeDocument/2006/relationships/hyperlink" Target="https://wa.me/573187838904?text=Buenas%2C%20%C2%BFhablo%20con%20Restaurante%20Cuernavac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5"/><Relationship Type="http://schemas.openxmlformats.org/officeDocument/2006/relationships/hyperlink" Target="https://wa.me/573052572323?text=Buenas%2C%20%C2%BFhablo%20con%20Arepapa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6"/><Relationship Type="http://schemas.openxmlformats.org/officeDocument/2006/relationships/hyperlink" Target="https://wa.me/573137842015?text=Buenas%2C%20%C2%BFhablo%20con%20Benditas%20Papa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7"/><Relationship Type="http://schemas.openxmlformats.org/officeDocument/2006/relationships/hyperlink" Target="https://wa.me/573027017636?text=Buenas%2C%20%C2%BFhablo%20con%20Brosty%20Combo%20La%20Y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8"/><Relationship Type="http://schemas.openxmlformats.org/officeDocument/2006/relationships/hyperlink" Target="https://wa.me/573176762292?text=Buenas%2C%20%C2%BFhablo%20con%20B%C3%A1rbaro%20Cocina%20Primitiv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9"/><Relationship Type="http://schemas.openxmlformats.org/officeDocument/2006/relationships/hyperlink" Target="https://wa.me/573019075390?text=Buenas%2C%20%C2%BFhablo%20con%20Casa%20del%20Arroz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0"/><Relationship Type="http://schemas.openxmlformats.org/officeDocument/2006/relationships/hyperlink" Target="https://wa.me/573015745474?text=Buenas%2C%20%C2%BFhablo%20con%20Comidas%20R%C3%A1pidas%20de%20la%20Vill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1"/><Relationship Type="http://schemas.openxmlformats.org/officeDocument/2006/relationships/hyperlink" Target="https://wa.me/573002025959?text=Buenas%2C%20%C2%BFhablo%20con%20Comidas%20R%C3%A1pidas%20DTi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2"/><Relationship Type="http://schemas.openxmlformats.org/officeDocument/2006/relationships/hyperlink" Target="https://wa.me/573107693578?text=Buenas%2C%20%C2%BFhablo%20con%20Correo%20Carne%20y%20Vin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3"/><Relationship Type="http://schemas.openxmlformats.org/officeDocument/2006/relationships/hyperlink" Target="https://wa.me/573135566907?text=Buenas%2C%20%C2%BFhablo%20con%20CR%20Delicias%20del%20Barri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4"/><Relationship Type="http://schemas.openxmlformats.org/officeDocument/2006/relationships/hyperlink" Target="https://wa.me/573246020193?text=Buenas%2C%20%C2%BFhablo%20con%20Criollas%20Hous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5"/><Relationship Type="http://schemas.openxmlformats.org/officeDocument/2006/relationships/hyperlink" Target="https://wa.me/573206544335?text=Buenas%2C%20%C2%BFhablo%20con%20Deliperros%20y%20Parrill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6"/><Relationship Type="http://schemas.openxmlformats.org/officeDocument/2006/relationships/hyperlink" Target="https://wa.me/573113663840?text=Buenas%2C%20%C2%BFhablo%20con%20Delirio%20Exquisit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7"/><Relationship Type="http://schemas.openxmlformats.org/officeDocument/2006/relationships/hyperlink" Target="https://wa.me/573107693578?text=Buenas%2C%20%C2%BFhablo%20con%20Due%20Amici%20Pizzer%C3%AD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8"/><Relationship Type="http://schemas.openxmlformats.org/officeDocument/2006/relationships/hyperlink" Target="https://wa.me/573017478418?text=Buenas%2C%20%C2%BFhablo%20con%20Escudero%27s%20BBQ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19"/><Relationship Type="http://schemas.openxmlformats.org/officeDocument/2006/relationships/hyperlink" Target="https://wa.me/573164312245?text=Buenas%2C%20%C2%BFhablo%20con%20Kuelap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0"/><Relationship Type="http://schemas.openxmlformats.org/officeDocument/2006/relationships/hyperlink" Target="https://wa.me/573015312571?text=Buenas%2C%20%C2%BFhablo%20con%20La%20Chimichang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1"/><Relationship Type="http://schemas.openxmlformats.org/officeDocument/2006/relationships/hyperlink" Target="https://wa.me/573112073817?text=Buenas%2C%20%C2%BFhablo%20con%20La%20Chorizer%C3%AD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2"/><Relationship Type="http://schemas.openxmlformats.org/officeDocument/2006/relationships/hyperlink" Target="https://wa.me/573107364695?text=Buenas%2C%20%C2%BFhablo%20con%20La%20Etern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3"/><Relationship Type="http://schemas.openxmlformats.org/officeDocument/2006/relationships/hyperlink" Target="https://wa.me/573013894096?text=Buenas%2C%20%C2%BFhablo%20con%20La%20Saz%C3%B3n%20de%20ALD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4"/><Relationship Type="http://schemas.openxmlformats.org/officeDocument/2006/relationships/hyperlink" Target="https://wa.me/573194189670?text=Buenas%2C%20%C2%BFhablo%20con%20Lo%20Exquisito%20del%20Mar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5"/><Relationship Type="http://schemas.openxmlformats.org/officeDocument/2006/relationships/hyperlink" Target="https://wa.me/573217791979?text=Buenas%2C%20%C2%BFhablo%20con%20Los%20Coste%C3%B1itos%20Expr%C3%A9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6"/><Relationship Type="http://schemas.openxmlformats.org/officeDocument/2006/relationships/hyperlink" Target="https://wa.me/573177178229?text=Buenas%2C%20%C2%BFhablo%20con%20Lupita%20Cocina%20Peruana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7"/><Relationship Type="http://schemas.openxmlformats.org/officeDocument/2006/relationships/hyperlink" Target="https://wa.me/573187587404?text=Buenas%2C%20%C2%BFhablo%20con%20Mr.%20Will%20Restaurant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8"/><Relationship Type="http://schemas.openxmlformats.org/officeDocument/2006/relationships/hyperlink" Target="https://wa.me/573103758138?text=Buenas%2C%20%C2%BFhablo%20con%20Parrilla%20Bar%20Nogales%20Barbecu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29"/><Relationship Type="http://schemas.openxmlformats.org/officeDocument/2006/relationships/hyperlink" Target="https://wa.me/573162348112?text=Buenas%2C%20%C2%BFhablo%20con%20Pigasu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0"/><Relationship Type="http://schemas.openxmlformats.org/officeDocument/2006/relationships/hyperlink" Target="https://wa.me/573002225032?text=Buenas%2C%20%C2%BFhablo%20con%20Puro%20Coc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1"/><Relationship Type="http://schemas.openxmlformats.org/officeDocument/2006/relationships/hyperlink" Target="https://wa.me/573212549016?text=Buenas%2C%20%C2%BFhablo%20con%20Ricomilones%20Medell%C3%ADn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2"/><Relationship Type="http://schemas.openxmlformats.org/officeDocument/2006/relationships/hyperlink" Target="https://wa.me/573117841355?text=Buenas%2C%20%C2%BFhablo%20con%20Rocot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3"/><Relationship Type="http://schemas.openxmlformats.org/officeDocument/2006/relationships/hyperlink" Target="https://wa.me/573154717699?text=Buenas%2C%20%C2%BFhablo%20con%20Romero%20Cocina%20Artesanal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4"/><Relationship Type="http://schemas.openxmlformats.org/officeDocument/2006/relationships/hyperlink" Target="https://wa.me/573162211687?text=Buenas%2C%20%C2%BFhablo%20con%20Voraz%20Restaurante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5"/><Relationship Type="http://schemas.openxmlformats.org/officeDocument/2006/relationships/hyperlink" Target="https://wa.me/573007541651?text=Buenas%2C%20%C2%BFhablo%20con%20Yony%20Perro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36"/><Relationship Type="http://schemas.openxmlformats.org/officeDocument/2006/relationships/hyperlink" Target="https://wa.me/573502977864?text=Buenas%2C%20%C2%BFhablo%20con%20el%20restaurante%20Alimentos%20R%C3%A1pido%20y%20Sabros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37"/><Relationship Type="http://schemas.openxmlformats.org/officeDocument/2006/relationships/hyperlink" Target="https://wa.me/573106867462?text=Buenas%2C%20%C2%BFhablo%20con%20el%20restaurante%20Collazos%20Sabores%20y%20Tradici%C3%B3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38"/><Relationship Type="http://schemas.openxmlformats.org/officeDocument/2006/relationships/hyperlink" Target="https://wa.me/573106909696?text=Buenas%2C%20%C2%BFhablo%20con%20el%20restaurante%20Gourmet%20%26%20Parrill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39"/><Relationship Type="http://schemas.openxmlformats.org/officeDocument/2006/relationships/hyperlink" Target="https://wa.me/573116228250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0"/><Relationship Type="http://schemas.openxmlformats.org/officeDocument/2006/relationships/hyperlink" Target="https://wa.me/573106029755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1"/><Relationship Type="http://schemas.openxmlformats.org/officeDocument/2006/relationships/hyperlink" Target="https://wa.me/573192808612?text=Buenas%2C%20%C2%BFhablo%20con%20el%20restaurante%20Que%20Alita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2"/><Relationship Type="http://schemas.openxmlformats.org/officeDocument/2006/relationships/hyperlink" Target="https://wa.me/573103708332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3"/><Relationship Type="http://schemas.openxmlformats.org/officeDocument/2006/relationships/hyperlink" Target="https://wa.me/573116282314?text=Buenas%2C%20%C2%BFhablo%20con%20el%20restaurante%20Vikingo%20Poll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4"/><Relationship Type="http://schemas.openxmlformats.org/officeDocument/2006/relationships/hyperlink" Target="https://wa.me/573042622923?text=Buenas%2C%20%C2%BFhablo%20con%20Ama%20Restaurante%20Vegano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45"/><Relationship Type="http://schemas.openxmlformats.org/officeDocument/2006/relationships/hyperlink" Target="https://wa.me/573197098156?text=Buenas%2C%20%C2%BFhablo%20con%20el%20restaurante%20Arepas%20Las%20Chacha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6"/><Relationship Type="http://schemas.openxmlformats.org/officeDocument/2006/relationships/hyperlink" Target="https://wa.me/573234561811?text=Buenas%2C%20%C2%BFhablo%20con%20el%20restaurante%20Asados%20y%20T%C3%ADpicos%20al%20Carb%C3%B3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7"/><Relationship Type="http://schemas.openxmlformats.org/officeDocument/2006/relationships/hyperlink" Target="https://wa.me/573104225583?text=Buenas%2C%20%C2%BFhablo%20con%20el%20restaurante%20Atl%C3%A1ntico%20Peruan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8"/><Relationship Type="http://schemas.openxmlformats.org/officeDocument/2006/relationships/hyperlink" Target="https://wa.me/573005944617?text=Buenas%2C%20%C2%BFhablo%20con%20el%20restaurante%20Bon%20Camar%C3%B3n%20Cevich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49"/><Relationship Type="http://schemas.openxmlformats.org/officeDocument/2006/relationships/hyperlink" Target="https://wa.me/573103684867?text=Buenas%2C%20%C2%BFhablo%20con%20Caf%C3%A9%20Clich%C3%A9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50"/><Relationship Type="http://schemas.openxmlformats.org/officeDocument/2006/relationships/hyperlink" Target="https://wa.me/573045686852?text=Buenas%2C%20%C2%BFhablo%20con%20el%20restaurante%20Chapati%20Halal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1"/><Relationship Type="http://schemas.openxmlformats.org/officeDocument/2006/relationships/hyperlink" Target="https://wa.me/573112962649?text=Buenas%2C%20%C2%BFhablo%20con%20el%20restaurante%20Delivery%20and%20Delicius%20Sushi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2"/><Relationship Type="http://schemas.openxmlformats.org/officeDocument/2006/relationships/hyperlink" Target="https://wa.me/573017915689?text=Buenas%2C%20%C2%BFhablo%20con%20El%20Rey%20Parrillero%20Laurele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3"/><Relationship Type="http://schemas.openxmlformats.org/officeDocument/2006/relationships/hyperlink" Target="https://wa.me/573216289188?text=Buenas%2C%20%C2%BFhablo%20con%20el%20restaurante%20Empanadas%20Las%20Calidosas%20del%20Centr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4"/><Relationship Type="http://schemas.openxmlformats.org/officeDocument/2006/relationships/hyperlink" Target="https://wa.me/573013381466?text=Buenas%2C%20%C2%BFhablo%20con%20el%20restaurante%20Hanami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5"/><Relationship Type="http://schemas.openxmlformats.org/officeDocument/2006/relationships/hyperlink" Target="https://wa.me/573004050749?text=Buenas%2C%20%C2%BFhablo%20con%20el%20restaurante%20Happy%20Grill%20Cocin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6"/><Relationship Type="http://schemas.openxmlformats.org/officeDocument/2006/relationships/hyperlink" Target="https://wa.me/573174389371?text=Buenas%2C%20%C2%BFhablo%20con%20el%20restaurante%20Happy%20Wrap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7"/><Relationship Type="http://schemas.openxmlformats.org/officeDocument/2006/relationships/hyperlink" Target="https://wa.me/573225169897?text=Buenas%2C%20%C2%BFhablo%20con%20el%20restaurante%20Kuipers%20Parrill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8"/><Relationship Type="http://schemas.openxmlformats.org/officeDocument/2006/relationships/hyperlink" Target="https://wa.me/573185878459?text=Buenas%2C%20%C2%BFhablo%20con%20La%20Casa%20del%20Aliment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59"/><Relationship Type="http://schemas.openxmlformats.org/officeDocument/2006/relationships/hyperlink" Target="https://wa.me/573017379330?text=Buenas%2C%20%C2%BFhablo%20con%20La%20Ribera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0"/><Relationship Type="http://schemas.openxmlformats.org/officeDocument/2006/relationships/hyperlink" Target="https://wa.me/573103773771?text=Buenas%2C%20%C2%BFhablo%20con%20Los%20Chamos%20Arepas%20Venezolanas%20y%20Algo%20M%C3%A1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1"/><Relationship Type="http://schemas.openxmlformats.org/officeDocument/2006/relationships/hyperlink" Target="https://wa.me/573052247450?text=Buenas%2C%20%C2%BFhablo%20con%20el%20restaurante%20Love%20Restaurant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2"/><Relationship Type="http://schemas.openxmlformats.org/officeDocument/2006/relationships/hyperlink" Target="https://wa.me/573015383860?text=Buenas%2C%20%C2%BFhablo%20con%20el%20restaurante%20Lu%20Mara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3"/><Relationship Type="http://schemas.openxmlformats.org/officeDocument/2006/relationships/hyperlink" Target="https://wa.me/573183121016?text=Buenas%2C%20%C2%BFhablo%20con%20el%20restaurante%20Makabro%20Salvaj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4"/><Relationship Type="http://schemas.openxmlformats.org/officeDocument/2006/relationships/hyperlink" Target="https://wa.me/573106423348?text=Buenas%2C%20%C2%BFhablo%20con%20el%20restaurante%20Mondongos%20Colombi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5"/><Relationship Type="http://schemas.openxmlformats.org/officeDocument/2006/relationships/hyperlink" Target="https://wa.me/573178548254?text=Buenas%2C%20%C2%BFhablo%20con%20el%20restaurante%20Mystic%20Food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6"/><Relationship Type="http://schemas.openxmlformats.org/officeDocument/2006/relationships/hyperlink" Target="https://wa.me/573137892487?text=Buenas%2C%20%C2%BFhablo%20con%20el%20restaurante%20Neo%20Gourmet%20Food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7"/><Relationship Type="http://schemas.openxmlformats.org/officeDocument/2006/relationships/hyperlink" Target="https://wa.me/573108338166?text=Buenas%2C%20%C2%BFhablo%20con%20el%20restaurante%20Niku%20Cartagen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8"/><Relationship Type="http://schemas.openxmlformats.org/officeDocument/2006/relationships/hyperlink" Target="https://wa.me/573005942872?text=Buenas%2C%20%C2%BFhablo%20con%20el%20restaurante%20Office%20Burger%20Family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69"/><Relationship Type="http://schemas.openxmlformats.org/officeDocument/2006/relationships/hyperlink" Target="https://wa.me/573159163874?text=Buenas%2C%20%C2%BFhablo%20con%20Ojal%C3%A1%20Brunch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70"/><Relationship Type="http://schemas.openxmlformats.org/officeDocument/2006/relationships/hyperlink" Target="https://wa.me/573246411797?text=Buenas%2C%20%C2%BFhablo%20con%20el%20restaurante%20Oni%20Medell%C3%AD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1"/><Relationship Type="http://schemas.openxmlformats.org/officeDocument/2006/relationships/hyperlink" Target="https://wa.me/573202342421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2"/><Relationship Type="http://schemas.openxmlformats.org/officeDocument/2006/relationships/hyperlink" Target="https://wa.me/573104939221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3"/><Relationship Type="http://schemas.openxmlformats.org/officeDocument/2006/relationships/hyperlink" Target="https://wa.me/573183758418?text=Buenas%2C%20%C2%BFhablo%20con%20el%20restaurante%20Osteria%20Local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4"/><Relationship Type="http://schemas.openxmlformats.org/officeDocument/2006/relationships/hyperlink" Target="https://wa.me/573134095152?text=Buenas%2C%20%C2%BFhablo%20con%20el%20restaurante%20Pizzaiolo%20Colombi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5"/><Relationship Type="http://schemas.openxmlformats.org/officeDocument/2006/relationships/hyperlink" Target="https://wa.me/573012108726?text=Buenas%2C%20%C2%BFhablo%20con%20el%20restaurante%20Pizzalas%20AC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6"/><Relationship Type="http://schemas.openxmlformats.org/officeDocument/2006/relationships/hyperlink" Target="https://wa.me/573104521433?text=Buenas%2C%20%C2%BFhablo%20con%20el%20restaurante%20Pollos%20a%20la%20Brasa%20Mario%20de%20la%20Am%C3%A9rica%20La%2044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7"/><Relationship Type="http://schemas.openxmlformats.org/officeDocument/2006/relationships/hyperlink" Target="https://wa.me/573003657171?text=Buenas%2C%20%C2%BFhablo%20con%20Q%27hubole%20Restaurante%20Bar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78"/><Relationship Type="http://schemas.openxmlformats.org/officeDocument/2006/relationships/hyperlink" Target="https://wa.me/573242312925?text=Buenas%2C%20%C2%BFhablo%20con%20Restaurante%20Chino%20Shenlong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79"/><Relationship Type="http://schemas.openxmlformats.org/officeDocument/2006/relationships/hyperlink" Target="https://wa.me/573117582286?text=Buenas%2C%20%C2%BFhablo%20con%20Restaurante%20Gran%20Ching%20Hong%20Yu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0"/><Relationship Type="http://schemas.openxmlformats.org/officeDocument/2006/relationships/hyperlink" Target="https://wa.me/573206914312?text=Buenas%2C%20%C2%BFhablo%20con%20Restaurante%20Las%20Pana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1"/><Relationship Type="http://schemas.openxmlformats.org/officeDocument/2006/relationships/hyperlink" Target="https://wa.me/573104281548?text=Buenas%2C%20%C2%BFhablo%20con%20Saludpan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82"/><Relationship Type="http://schemas.openxmlformats.org/officeDocument/2006/relationships/hyperlink" Target="https://wa.me/573114246481?text=Buenas%2C%20%C2%BFhablo%20con%20el%20restaurante%20Taco%20House%20Mexican%20Grill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3"/><Relationship Type="http://schemas.openxmlformats.org/officeDocument/2006/relationships/hyperlink" Target="https://wa.me/573204731706?text=Buenas%2C%20%C2%BFhablo%20con%20el%20restaurante%20W%20Fuego%20Burger%20Inversione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4"/><Relationship Type="http://schemas.openxmlformats.org/officeDocument/2006/relationships/hyperlink" Target="https://wa.me/573108947678?text=Buenas%2C%20%C2%BFhablo%20con%20Zacatecas%3F%20Mi%20nombre%20es%20John%20Botero.%20Vi%20que%20reciben%20los%20pedidos%20por%20WhatsApp.%20A%20la%20hora%20del%20almuerzo%2C%20%C2%BFqui%C3%A9n%20contesta%20todos%20esos%20mensajes%3F%20Tenemos%20un%20asistente%20que%20los%20contesta%20solo%3A%20toma%20el%20pedido%2C%20confirma%20la%20direcci%C3%B3n%2C%20calcula%20el%20domicilio%2C%20revisa%20el%20comprobante%20de%20la%20transferencia%20y%20le%20manda%20la%20comanda%20a%20la%20cocina.%20Sigue%20con%20su%20mismo%20n%C3%BAmero%20y%20su%20app%20de%20WhatsApp%2C%20y%20usted%20ve%20todos%20los%20chats.%20%C2%BFLe%20muestro%20c%C3%B3mo%20quedar%C3%ADa%20con%20su%20men%C3%BA%3F" TargetMode="External" Id="rId85"/><Relationship Type="http://schemas.openxmlformats.org/officeDocument/2006/relationships/hyperlink" Target="https://wa.me/573207893494?text=Buenas%2C%20%C2%BFhablo%20con%20el%20restaurante%20Cafe%20Coffee%20Bean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6"/><Relationship Type="http://schemas.openxmlformats.org/officeDocument/2006/relationships/hyperlink" Target="https://wa.me/573004892646?text=Buenas%2C%20%C2%BFhablo%20con%20el%20restaurante%20Chickenresto%20Bar%20Bell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7"/><Relationship Type="http://schemas.openxmlformats.org/officeDocument/2006/relationships/hyperlink" Target="https://wa.me/573162346489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8"/><Relationship Type="http://schemas.openxmlformats.org/officeDocument/2006/relationships/hyperlink" Target="https://wa.me/573243643277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89"/><Relationship Type="http://schemas.openxmlformats.org/officeDocument/2006/relationships/hyperlink" Target="https://wa.me/573117986735?text=Buenas%2C%20%C2%BFhablo%20con%20Restaurante%20Bar%20La%20Mula%20Pais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0"/><Relationship Type="http://schemas.openxmlformats.org/officeDocument/2006/relationships/hyperlink" Target="https://wa.me/573182822160?text=Buenas%2C%20%C2%BFhablo%20con%20el%20restaurante%20Ammazza%20Laurele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1"/><Relationship Type="http://schemas.openxmlformats.org/officeDocument/2006/relationships/hyperlink" Target="https://wa.me/573105145283?text=Buenas%2C%20%C2%BFhablo%20con%20el%20restaurante%20Apetente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2"/><Relationship Type="http://schemas.openxmlformats.org/officeDocument/2006/relationships/hyperlink" Target="https://wa.me/573146454826?text=Buenas%2C%20%C2%BFhablo%20con%20el%20restaurante%20Caf%C3%A9%20Retir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3"/><Relationship Type="http://schemas.openxmlformats.org/officeDocument/2006/relationships/hyperlink" Target="https://wa.me/573007600519?text=Buenas%2C%20%C2%BFhablo%20con%20el%20restaurante%20Caf%C3%A9%20Sudam%C3%A9rica%20Colombia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4"/><Relationship Type="http://schemas.openxmlformats.org/officeDocument/2006/relationships/hyperlink" Target="https://wa.me/573104197199?text=Buenas%2C%20%C2%BFhablo%20con%20el%20restaurante%20Cocina%20Caf%C3%A9%20y%20Pa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5"/><Relationship Type="http://schemas.openxmlformats.org/officeDocument/2006/relationships/hyperlink" Target="https://wa.me/573246015171?text=Buenas%2C%20%C2%BFhablo%20con%20el%20restaurante%20Coffee%20Development%20Projects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6"/><Relationship Type="http://schemas.openxmlformats.org/officeDocument/2006/relationships/hyperlink" Target="https://wa.me/573017097365?text=Buenas%2C%20%C2%BFhablo%20con%20El%20Pollote%20Manriqu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7"/><Relationship Type="http://schemas.openxmlformats.org/officeDocument/2006/relationships/hyperlink" Target="https://wa.me/573232121418?text=Buenas%2C%20%C2%BFhablo%20con%20el%20restaurante%20Elemental%20Cocina%20Mesa%20Bar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8"/><Relationship Type="http://schemas.openxmlformats.org/officeDocument/2006/relationships/hyperlink" Target="https://wa.me/573148079327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99"/><Relationship Type="http://schemas.openxmlformats.org/officeDocument/2006/relationships/hyperlink" Target="https://wa.me/573184218260?text=Buenas%2C%20%C2%BFhablo%20con%20el%20restaurante%20Il%20Capuccino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0"/><Relationship Type="http://schemas.openxmlformats.org/officeDocument/2006/relationships/hyperlink" Target="https://wa.me/573225529442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1"/><Relationship Type="http://schemas.openxmlformats.org/officeDocument/2006/relationships/hyperlink" Target="https://wa.me/573188256809?text=Buenas%2C%20%C2%BFhablo%20con%20La%20Gallinita%20Aranjuez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2"/><Relationship Type="http://schemas.openxmlformats.org/officeDocument/2006/relationships/hyperlink" Target="https://wa.me/573015194439?text=Buenas%2C%20%C2%BFhablo%20con%20La%20Oculta%20Medell%C3%AD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3"/><Relationship Type="http://schemas.openxmlformats.org/officeDocument/2006/relationships/hyperlink" Target="https://wa.me/573017809516?text=Buenas%2C%20%C2%BFhablo%20con%20el%20restaurant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4"/><Relationship Type="http://schemas.openxmlformats.org/officeDocument/2006/relationships/hyperlink" Target="https://wa.me/573117496151?text=Buenas%2C%20%C2%BFhablo%20con%20el%20restaurante%20Mojitos%20Restaurant%20Bar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5"/><Relationship Type="http://schemas.openxmlformats.org/officeDocument/2006/relationships/hyperlink" Target="https://wa.me/573507750139?text=Buenas%2C%20%C2%BFhablo%20con%20el%20restaurante%20Molido%20Caf%C3%A9%20y%20Pan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6"/><Relationship Type="http://schemas.openxmlformats.org/officeDocument/2006/relationships/hyperlink" Target="https://wa.me/573054146615?text=Buenas%2C%20%C2%BFhablo%20con%20el%20restaurante%20Oasis%20Club%20Caf%C3%A9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7"/><Relationship Type="http://schemas.openxmlformats.org/officeDocument/2006/relationships/hyperlink" Target="https://wa.me/573104588500?text=Buenas%2C%20%C2%BFhablo%20con%20el%20restaurante%20Roll%20Company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8"/><Relationship Type="http://schemas.openxmlformats.org/officeDocument/2006/relationships/hyperlink" Target="https://wa.me/573044315616?text=Buenas%2C%20%C2%BFhablo%20con%20el%20restaurante%20Vegan%20%26%20Veggie%3F%20Mi%20nombre%20es%20John%20Botero%2C%20le%20escribo%20desde%20Medell%C3%ADn.%20Hicimos%20un%20asistente%20para%20el%20WhatsApp%20de%20restaurantes%3A%20le%20contesta%20a%20los%20clientes%2C%20toma%20el%20pedido%20completo%20con%20la%20direcci%C3%B3n%20y%20le%20calcula%20el%20domicilio%20seg%C3%BAn%20el%20barrio.%20El%20men%C3%BA%20del%20d%C3%ADa%20se%20carga%20mandando%20una%20foto.%20%C2%BFLe%20puedo%20mostrar%20c%C3%B3mo%20funciona%3F" TargetMode="External" Id="rId10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36" customWidth="1" min="3" max="3"/>
    <col width="10" customWidth="1" min="4" max="4"/>
    <col width="18" customWidth="1" min="5" max="5"/>
    <col width="24" customWidth="1" min="6" max="6"/>
    <col width="13" customWidth="1" min="7" max="7"/>
    <col width="9" customWidth="1" min="8" max="8"/>
    <col width="22" customWidth="1" min="9" max="9"/>
    <col width="26" customWidth="1" min="10" max="10"/>
    <col width="16" customWidth="1" min="11" max="11"/>
    <col width="14" customWidth="1" min="12" max="12"/>
    <col width="13" customWidth="1" min="13" max="13"/>
    <col width="14" customWidth="1" min="14" max="14"/>
    <col width="13" customWidth="1" min="15" max="15"/>
    <col width="26" customWidth="1" min="16" max="16"/>
    <col width="34" customWidth="1" min="17" max="17"/>
    <col width="40" customWidth="1" min="18" max="18"/>
    <col width="11" customWidth="1" min="19" max="19"/>
  </cols>
  <sheetData>
    <row r="1" ht="30" customHeight="1">
      <c r="A1" s="1" t="inlineStr">
        <is>
          <t>#</t>
        </is>
      </c>
      <c r="B1" s="1" t="inlineStr">
        <is>
          <t>Prioridad</t>
        </is>
      </c>
      <c r="C1" s="1" t="inlineStr">
        <is>
          <t>Restaurante</t>
        </is>
      </c>
      <c r="D1" s="1" t="inlineStr">
        <is>
          <t>Ciudad</t>
        </is>
      </c>
      <c r="E1" s="1" t="inlineStr">
        <is>
          <t>Zona</t>
        </is>
      </c>
      <c r="F1" s="1" t="inlineStr">
        <is>
          <t>Tipo</t>
        </is>
      </c>
      <c r="G1" s="1" t="inlineStr">
        <is>
          <t>Teléfono</t>
        </is>
      </c>
      <c r="H1" s="1" t="inlineStr">
        <is>
          <t>Línea</t>
        </is>
      </c>
      <c r="I1" s="1" t="inlineStr">
        <is>
          <t>WhatsApp</t>
        </is>
      </c>
      <c r="J1" s="1" t="inlineStr">
        <is>
          <t>Dirección</t>
        </is>
      </c>
      <c r="K1" s="1" t="inlineStr">
        <is>
          <t>Estado</t>
        </is>
      </c>
      <c r="L1" s="1" t="inlineStr">
        <is>
          <t>Primer contacto</t>
        </is>
      </c>
      <c r="M1" s="1" t="inlineStr">
        <is>
          <t>Seguimiento</t>
        </is>
      </c>
      <c r="N1" s="1" t="inlineStr">
        <is>
          <t>Plan de interés</t>
        </is>
      </c>
      <c r="O1" s="1" t="inlineStr">
        <is>
          <t>Mensualidad</t>
        </is>
      </c>
      <c r="P1" s="1" t="inlineStr">
        <is>
          <t>Próxima acción</t>
        </is>
      </c>
      <c r="Q1" s="1" t="inlineStr">
        <is>
          <t>Notas</t>
        </is>
      </c>
      <c r="R1" s="1" t="inlineStr">
        <is>
          <t>Pedidos por WhatsApp</t>
        </is>
      </c>
      <c r="S1" s="1" t="inlineStr">
        <is>
          <t>Fuente</t>
        </is>
      </c>
    </row>
    <row r="2">
      <c r="A2" s="2" t="n">
        <v>1</v>
      </c>
      <c r="B2" s="3" t="inlineStr">
        <is>
          <t>Alta</t>
        </is>
      </c>
      <c r="C2" s="2" t="inlineStr">
        <is>
          <t>A Otro Nivel Parrilla</t>
        </is>
      </c>
      <c r="D2" s="2" t="inlineStr">
        <is>
          <t>Bello</t>
        </is>
      </c>
      <c r="E2" s="2" t="inlineStr"/>
      <c r="F2" s="2" t="inlineStr">
        <is>
          <t>Parrilla / comida rápida</t>
        </is>
      </c>
      <c r="G2" s="4" t="inlineStr">
        <is>
          <t>3105435674</t>
        </is>
      </c>
      <c r="H2" s="2">
        <f>IF(G2="","Sin número",IF(LEFT(G2,1)="3","Celular","Fijo"))</f>
        <v/>
      </c>
      <c r="I2" s="5" t="inlineStr">
        <is>
          <t>Abrir chat con mensaje</t>
        </is>
      </c>
      <c r="J2" s="2" t="inlineStr">
        <is>
          <t>Cl 57 # 67B-79</t>
        </is>
      </c>
      <c r="K2" s="6" t="inlineStr">
        <is>
          <t>Por contactar</t>
        </is>
      </c>
      <c r="L2" s="7" t="n"/>
      <c r="M2" s="8">
        <f>IF(L2="","",L2+4)</f>
        <v/>
      </c>
      <c r="N2" s="6" t="n"/>
      <c r="O2" s="9">
        <f>IF(N2="","",INDEX(Planes!$B$4:$B$6,MATCH(N2,Planes!$A$4:$A$6,0)))</f>
        <v/>
      </c>
      <c r="P2" s="6" t="inlineStr">
        <is>
          <t>Enviar mensaje 1b</t>
        </is>
      </c>
      <c r="Q2" s="6" t="inlineStr"/>
      <c r="R2" s="2" t="inlineStr">
        <is>
          <t>Menú en línea con pedidos a WhatsApp (ola.click)</t>
        </is>
      </c>
      <c r="S2" s="5">
        <f>HYPERLINK("https://aotronivelparrilla.ola.click/","Ver fuente")</f>
        <v/>
      </c>
    </row>
    <row r="3">
      <c r="A3" s="2" t="n">
        <v>2</v>
      </c>
      <c r="B3" s="3" t="inlineStr">
        <is>
          <t>Alta</t>
        </is>
      </c>
      <c r="C3" s="2" t="inlineStr">
        <is>
          <t>Aquí Fue Trapiche</t>
        </is>
      </c>
      <c r="D3" s="2" t="inlineStr">
        <is>
          <t>Bello</t>
        </is>
      </c>
      <c r="E3" s="2" t="inlineStr"/>
      <c r="F3" s="2" t="inlineStr">
        <is>
          <t>Restaurante</t>
        </is>
      </c>
      <c r="G3" s="4" t="inlineStr">
        <is>
          <t>3224852584</t>
        </is>
      </c>
      <c r="H3" s="2">
        <f>IF(G3="","Sin número",IF(LEFT(G3,1)="3","Celular","Fijo"))</f>
        <v/>
      </c>
      <c r="I3" s="5" t="inlineStr">
        <is>
          <t>Abrir chat con mensaje</t>
        </is>
      </c>
      <c r="J3" s="2" t="inlineStr">
        <is>
          <t>Cra 66 # 57-46</t>
        </is>
      </c>
      <c r="K3" s="6" t="inlineStr">
        <is>
          <t>Por contactar</t>
        </is>
      </c>
      <c r="L3" s="7" t="n"/>
      <c r="M3" s="8">
        <f>IF(L3="","",L3+4)</f>
        <v/>
      </c>
      <c r="N3" s="6" t="n"/>
      <c r="O3" s="9">
        <f>IF(N3="","",INDEX(Planes!$B$4:$B$6,MATCH(N3,Planes!$A$4:$A$6,0)))</f>
        <v/>
      </c>
      <c r="P3" s="6" t="inlineStr">
        <is>
          <t>Enviar mensaje 1b</t>
        </is>
      </c>
      <c r="Q3" s="6" t="inlineStr"/>
      <c r="R3" s="2" t="inlineStr">
        <is>
          <t>Menú en línea con pedidos a WhatsApp (ola.click)</t>
        </is>
      </c>
      <c r="S3" s="5">
        <f>HYPERLINK("https://aquifuedomicilio.ola.click/","Ver fuente")</f>
        <v/>
      </c>
    </row>
    <row r="4">
      <c r="A4" s="2" t="n">
        <v>3</v>
      </c>
      <c r="B4" s="3" t="inlineStr">
        <is>
          <t>Alta</t>
        </is>
      </c>
      <c r="C4" s="2" t="inlineStr">
        <is>
          <t>Arroz Caracas</t>
        </is>
      </c>
      <c r="D4" s="2" t="inlineStr">
        <is>
          <t>Bello</t>
        </is>
      </c>
      <c r="E4" s="2" t="inlineStr"/>
      <c r="F4" s="2" t="inlineStr">
        <is>
          <t>Comida china</t>
        </is>
      </c>
      <c r="G4" s="4" t="n"/>
      <c r="H4" s="2">
        <f>IF(G4="","Sin número",IF(LEFT(G4,1)="3","Celular","Fijo"))</f>
        <v/>
      </c>
      <c r="I4" s="5" t="n"/>
      <c r="J4" s="2" t="inlineStr"/>
      <c r="K4" s="6" t="inlineStr">
        <is>
          <t>Por contactar</t>
        </is>
      </c>
      <c r="L4" s="7" t="n"/>
      <c r="M4" s="8">
        <f>IF(L4="","",L4+4)</f>
        <v/>
      </c>
      <c r="N4" s="6" t="n"/>
      <c r="O4" s="9">
        <f>IF(N4="","",INDEX(Planes!$B$4:$B$6,MATCH(N4,Planes!$A$4:$A$6,0)))</f>
        <v/>
      </c>
      <c r="P4" s="6" t="inlineStr">
        <is>
          <t>Escribir por el botón de WhatsApp de su menú en línea</t>
        </is>
      </c>
      <c r="Q4" s="6" t="inlineStr"/>
      <c r="R4" s="2" t="inlineStr">
        <is>
          <t>Menú en línea con pedidos a WhatsApp; reparte en Cabañas, París y Santa Ana (ola.click)</t>
        </is>
      </c>
      <c r="S4" s="5">
        <f>HYPERLINK("https://arroz-caracas.ola.click/info","Ver fuente")</f>
        <v/>
      </c>
    </row>
    <row r="5">
      <c r="A5" s="2" t="n">
        <v>4</v>
      </c>
      <c r="B5" s="3" t="inlineStr">
        <is>
          <t>Alta</t>
        </is>
      </c>
      <c r="C5" s="2" t="inlineStr">
        <is>
          <t>Carnes al Carbón Valadares</t>
        </is>
      </c>
      <c r="D5" s="2" t="inlineStr">
        <is>
          <t>Bello</t>
        </is>
      </c>
      <c r="E5" s="2" t="inlineStr"/>
      <c r="F5" s="2" t="inlineStr">
        <is>
          <t>Asados</t>
        </is>
      </c>
      <c r="G5" s="4" t="n"/>
      <c r="H5" s="2">
        <f>IF(G5="","Sin número",IF(LEFT(G5,1)="3","Celular","Fijo"))</f>
        <v/>
      </c>
      <c r="I5" s="5" t="n"/>
      <c r="J5" s="2" t="inlineStr">
        <is>
          <t>Cra 66BB # 57A-34</t>
        </is>
      </c>
      <c r="K5" s="6" t="inlineStr">
        <is>
          <t>Por contactar</t>
        </is>
      </c>
      <c r="L5" s="7" t="n"/>
      <c r="M5" s="8">
        <f>IF(L5="","",L5+4)</f>
        <v/>
      </c>
      <c r="N5" s="6" t="n"/>
      <c r="O5" s="9">
        <f>IF(N5="","",INDEX(Planes!$B$4:$B$6,MATCH(N5,Planes!$A$4:$A$6,0)))</f>
        <v/>
      </c>
      <c r="P5" s="6" t="inlineStr">
        <is>
          <t>Escribir por el botón de WhatsApp de su menú en línea</t>
        </is>
      </c>
      <c r="Q5" s="6" t="inlineStr"/>
      <c r="R5" s="2" t="inlineStr">
        <is>
          <t>Menú en línea con pedidos a WhatsApp (ola.click)</t>
        </is>
      </c>
      <c r="S5" s="5">
        <f>HYPERLINK("https://carnesalcarbonvaladares.ola.click/","Ver fuente")</f>
        <v/>
      </c>
    </row>
    <row r="6">
      <c r="A6" s="2" t="n">
        <v>5</v>
      </c>
      <c r="B6" s="3" t="inlineStr">
        <is>
          <t>Alta</t>
        </is>
      </c>
      <c r="C6" s="2" t="inlineStr">
        <is>
          <t>Family Restorant Bar &amp; Grill</t>
        </is>
      </c>
      <c r="D6" s="2" t="inlineStr">
        <is>
          <t>Bello</t>
        </is>
      </c>
      <c r="E6" s="2" t="inlineStr">
        <is>
          <t>Andalucía</t>
        </is>
      </c>
      <c r="F6" s="2" t="inlineStr">
        <is>
          <t>Hamburguesas / parrilla</t>
        </is>
      </c>
      <c r="G6" s="4" t="inlineStr">
        <is>
          <t>3232803762</t>
        </is>
      </c>
      <c r="H6" s="2">
        <f>IF(G6="","Sin número",IF(LEFT(G6,1)="3","Celular","Fijo"))</f>
        <v/>
      </c>
      <c r="I6" s="5" t="inlineStr">
        <is>
          <t>Abrir chat con mensaje</t>
        </is>
      </c>
      <c r="J6" s="2" t="inlineStr">
        <is>
          <t>Cl 55 # 52-26</t>
        </is>
      </c>
      <c r="K6" s="6" t="inlineStr">
        <is>
          <t>Por contactar</t>
        </is>
      </c>
      <c r="L6" s="7" t="n"/>
      <c r="M6" s="8">
        <f>IF(L6="","",L6+4)</f>
        <v/>
      </c>
      <c r="N6" s="6" t="n"/>
      <c r="O6" s="9">
        <f>IF(N6="","",INDEX(Planes!$B$4:$B$6,MATCH(N6,Planes!$A$4:$A$6,0)))</f>
        <v/>
      </c>
      <c r="P6" s="6" t="inlineStr">
        <is>
          <t>Enviar mensaje 1b</t>
        </is>
      </c>
      <c r="Q6" s="6" t="inlineStr"/>
      <c r="R6" s="2" t="inlineStr">
        <is>
          <t>Menú en línea con pedidos a WhatsApp (ola.click)</t>
        </is>
      </c>
      <c r="S6" s="5">
        <f>HYPERLINK("https://familyburger-col.ola.click/","Ver fuente")</f>
        <v/>
      </c>
    </row>
    <row r="7">
      <c r="A7" s="2" t="n">
        <v>6</v>
      </c>
      <c r="B7" s="3" t="inlineStr">
        <is>
          <t>Alta</t>
        </is>
      </c>
      <c r="C7" s="2" t="inlineStr">
        <is>
          <t>Garage Burger 66</t>
        </is>
      </c>
      <c r="D7" s="2" t="inlineStr">
        <is>
          <t>Bello</t>
        </is>
      </c>
      <c r="E7" s="2" t="inlineStr">
        <is>
          <t>La Madera</t>
        </is>
      </c>
      <c r="F7" s="2" t="inlineStr">
        <is>
          <t>Hamburguesas</t>
        </is>
      </c>
      <c r="G7" s="4" t="n"/>
      <c r="H7" s="2">
        <f>IF(G7="","Sin número",IF(LEFT(G7,1)="3","Celular","Fijo"))</f>
        <v/>
      </c>
      <c r="I7" s="5" t="n"/>
      <c r="J7" s="2" t="inlineStr">
        <is>
          <t>Cra 53 # 26B-26</t>
        </is>
      </c>
      <c r="K7" s="6" t="inlineStr">
        <is>
          <t>Por contactar</t>
        </is>
      </c>
      <c r="L7" s="7" t="n"/>
      <c r="M7" s="8">
        <f>IF(L7="","",L7+4)</f>
        <v/>
      </c>
      <c r="N7" s="6" t="n"/>
      <c r="O7" s="9">
        <f>IF(N7="","",INDEX(Planes!$B$4:$B$6,MATCH(N7,Planes!$A$4:$A$6,0)))</f>
        <v/>
      </c>
      <c r="P7" s="6" t="inlineStr">
        <is>
          <t>Escribir por el botón de WhatsApp de su menú en línea</t>
        </is>
      </c>
      <c r="Q7" s="6" t="inlineStr"/>
      <c r="R7" s="2" t="inlineStr">
        <is>
          <t>Menú en línea con pedidos a WhatsApp (ola.click)</t>
        </is>
      </c>
      <c r="S7" s="5">
        <f>HYPERLINK("https://garage-burger-66.ola.click/","Ver fuente")</f>
        <v/>
      </c>
    </row>
    <row r="8">
      <c r="A8" s="2" t="n">
        <v>7</v>
      </c>
      <c r="B8" s="3" t="inlineStr">
        <is>
          <t>Alta</t>
        </is>
      </c>
      <c r="C8" s="2" t="inlineStr">
        <is>
          <t>GUSLAB</t>
        </is>
      </c>
      <c r="D8" s="2" t="inlineStr">
        <is>
          <t>Bello</t>
        </is>
      </c>
      <c r="E8" s="2" t="inlineStr">
        <is>
          <t>La Mesa</t>
        </is>
      </c>
      <c r="F8" s="2" t="inlineStr">
        <is>
          <t>Restaurante</t>
        </is>
      </c>
      <c r="G8" s="4" t="inlineStr">
        <is>
          <t>3332578535</t>
        </is>
      </c>
      <c r="H8" s="2">
        <f>IF(G8="","Sin número",IF(LEFT(G8,1)="3","Celular","Fijo"))</f>
        <v/>
      </c>
      <c r="I8" s="5" t="inlineStr">
        <is>
          <t>Abrir chat con mensaje</t>
        </is>
      </c>
      <c r="J8" s="2" t="inlineStr">
        <is>
          <t>Cl 53A # 52-39</t>
        </is>
      </c>
      <c r="K8" s="6" t="inlineStr">
        <is>
          <t>Por contactar</t>
        </is>
      </c>
      <c r="L8" s="7" t="n"/>
      <c r="M8" s="8">
        <f>IF(L8="","",L8+4)</f>
        <v/>
      </c>
      <c r="N8" s="6" t="n"/>
      <c r="O8" s="9">
        <f>IF(N8="","",INDEX(Planes!$B$4:$B$6,MATCH(N8,Planes!$A$4:$A$6,0)))</f>
        <v/>
      </c>
      <c r="P8" s="6" t="inlineStr">
        <is>
          <t>Enviar mensaje 1b</t>
        </is>
      </c>
      <c r="Q8" s="6" t="inlineStr"/>
      <c r="R8" s="2" t="inlineStr">
        <is>
          <t>Menú en línea con pedidos a WhatsApp (ola.click)</t>
        </is>
      </c>
      <c r="S8" s="5">
        <f>HYPERLINK("https://guslab.ola.click/","Ver fuente")</f>
        <v/>
      </c>
    </row>
    <row r="9">
      <c r="A9" s="2" t="n">
        <v>8</v>
      </c>
      <c r="B9" s="3" t="inlineStr">
        <is>
          <t>Alta</t>
        </is>
      </c>
      <c r="C9" s="2" t="inlineStr">
        <is>
          <t>Los Mandingos</t>
        </is>
      </c>
      <c r="D9" s="2" t="inlineStr">
        <is>
          <t>Bello</t>
        </is>
      </c>
      <c r="E9" s="2" t="inlineStr">
        <is>
          <t>La Cabaña</t>
        </is>
      </c>
      <c r="F9" s="2" t="inlineStr">
        <is>
          <t>Restaurante</t>
        </is>
      </c>
      <c r="G9" s="4" t="n"/>
      <c r="H9" s="2">
        <f>IF(G9="","Sin número",IF(LEFT(G9,1)="3","Celular","Fijo"))</f>
        <v/>
      </c>
      <c r="I9" s="5" t="n"/>
      <c r="J9" s="2" t="inlineStr"/>
      <c r="K9" s="6" t="inlineStr">
        <is>
          <t>Por contactar</t>
        </is>
      </c>
      <c r="L9" s="7" t="n"/>
      <c r="M9" s="8">
        <f>IF(L9="","",L9+4)</f>
        <v/>
      </c>
      <c r="N9" s="6" t="n"/>
      <c r="O9" s="9">
        <f>IF(N9="","",INDEX(Planes!$B$4:$B$6,MATCH(N9,Planes!$A$4:$A$6,0)))</f>
        <v/>
      </c>
      <c r="P9" s="6" t="inlineStr">
        <is>
          <t>Escribir por el botón de WhatsApp de su menú en línea</t>
        </is>
      </c>
      <c r="Q9" s="6" t="inlineStr"/>
      <c r="R9" s="2" t="inlineStr">
        <is>
          <t>Menú en línea con pedidos a WhatsApp (ola.click)</t>
        </is>
      </c>
      <c r="S9" s="5">
        <f>HYPERLINK("https://los-mandingos.ola.click/","Ver fuente")</f>
        <v/>
      </c>
    </row>
    <row r="10">
      <c r="A10" s="2" t="n">
        <v>9</v>
      </c>
      <c r="B10" s="3" t="inlineStr">
        <is>
          <t>Alta</t>
        </is>
      </c>
      <c r="C10" s="2" t="inlineStr">
        <is>
          <t>Restaurante Cuernavaca</t>
        </is>
      </c>
      <c r="D10" s="2" t="inlineStr">
        <is>
          <t>Bello</t>
        </is>
      </c>
      <c r="E10" s="2" t="inlineStr">
        <is>
          <t>Centro</t>
        </is>
      </c>
      <c r="F10" s="2" t="inlineStr">
        <is>
          <t>Comida mexicana y típica</t>
        </is>
      </c>
      <c r="G10" s="4" t="inlineStr">
        <is>
          <t>3187838904</t>
        </is>
      </c>
      <c r="H10" s="2">
        <f>IF(G10="","Sin número",IF(LEFT(G10,1)="3","Celular","Fijo"))</f>
        <v/>
      </c>
      <c r="I10" s="5" t="inlineStr">
        <is>
          <t>Abrir chat con mensaje</t>
        </is>
      </c>
      <c r="J10" s="2" t="inlineStr">
        <is>
          <t>Cra 51 # 51-27</t>
        </is>
      </c>
      <c r="K10" s="6" t="inlineStr">
        <is>
          <t>Por contactar</t>
        </is>
      </c>
      <c r="L10" s="7" t="n"/>
      <c r="M10" s="8">
        <f>IF(L10="","",L10+4)</f>
        <v/>
      </c>
      <c r="N10" s="6" t="n"/>
      <c r="O10" s="9">
        <f>IF(N10="","",INDEX(Planes!$B$4:$B$6,MATCH(N10,Planes!$A$4:$A$6,0)))</f>
        <v/>
      </c>
      <c r="P10" s="6" t="inlineStr">
        <is>
          <t>Enviar mensaje 1b</t>
        </is>
      </c>
      <c r="Q10" s="6" t="inlineStr"/>
      <c r="R10" s="2" t="inlineStr">
        <is>
          <t>Menú en línea con pedidos a WhatsApp (ola.click)</t>
        </is>
      </c>
      <c r="S10" s="5">
        <f>HYPERLINK("https://cuernavaca.ola.click/","Ver fuente")</f>
        <v/>
      </c>
    </row>
    <row r="11">
      <c r="A11" s="2" t="n">
        <v>10</v>
      </c>
      <c r="B11" s="3" t="inlineStr">
        <is>
          <t>Alta</t>
        </is>
      </c>
      <c r="C11" s="2" t="inlineStr">
        <is>
          <t>Alabama</t>
        </is>
      </c>
      <c r="D11" s="2" t="inlineStr">
        <is>
          <t>Medellín</t>
        </is>
      </c>
      <c r="E11" s="2" t="inlineStr">
        <is>
          <t>El Poblado</t>
        </is>
      </c>
      <c r="F11" s="2" t="inlineStr">
        <is>
          <t>Almuerzos caseros</t>
        </is>
      </c>
      <c r="G11" s="4" t="n"/>
      <c r="H11" s="2">
        <f>IF(G11="","Sin número",IF(LEFT(G11,1)="3","Celular","Fijo"))</f>
        <v/>
      </c>
      <c r="I11" s="5" t="n"/>
      <c r="J11" s="2" t="inlineStr"/>
      <c r="K11" s="6" t="inlineStr">
        <is>
          <t>Por contactar</t>
        </is>
      </c>
      <c r="L11" s="7" t="n"/>
      <c r="M11" s="8">
        <f>IF(L11="","",L11+4)</f>
        <v/>
      </c>
      <c r="N11" s="6" t="n"/>
      <c r="O11" s="9">
        <f>IF(N11="","",INDEX(Planes!$B$4:$B$6,MATCH(N11,Planes!$A$4:$A$6,0)))</f>
        <v/>
      </c>
      <c r="P11" s="6" t="inlineStr">
        <is>
          <t>Escribir por el botón de WhatsApp de su menú en línea</t>
        </is>
      </c>
      <c r="Q11" s="6" t="inlineStr"/>
      <c r="R11" s="2" t="inlineStr">
        <is>
          <t>Manda el menú del día por WhatsApp y recibe los pedidos por ahí</t>
        </is>
      </c>
      <c r="S11" s="5">
        <f>HYPERLINK("https://alabama.soy/almuerzo-casero-medellin/","Ver fuente")</f>
        <v/>
      </c>
    </row>
    <row r="12">
      <c r="A12" s="2" t="n">
        <v>11</v>
      </c>
      <c r="B12" s="3" t="inlineStr">
        <is>
          <t>Alta</t>
        </is>
      </c>
      <c r="C12" s="2" t="inlineStr">
        <is>
          <t>Arepapas</t>
        </is>
      </c>
      <c r="D12" s="2" t="inlineStr">
        <is>
          <t>Medellín</t>
        </is>
      </c>
      <c r="E12" s="2" t="inlineStr">
        <is>
          <t>Laureles</t>
        </is>
      </c>
      <c r="F12" s="2" t="inlineStr">
        <is>
          <t>Arepería</t>
        </is>
      </c>
      <c r="G12" s="4" t="inlineStr">
        <is>
          <t>3052572323</t>
        </is>
      </c>
      <c r="H12" s="2">
        <f>IF(G12="","Sin número",IF(LEFT(G12,1)="3","Celular","Fijo"))</f>
        <v/>
      </c>
      <c r="I12" s="5" t="inlineStr">
        <is>
          <t>Abrir chat con mensaje</t>
        </is>
      </c>
      <c r="J12" s="2" t="inlineStr">
        <is>
          <t>Cl 43 # 76-10</t>
        </is>
      </c>
      <c r="K12" s="6" t="inlineStr">
        <is>
          <t>Por contactar</t>
        </is>
      </c>
      <c r="L12" s="7" t="n"/>
      <c r="M12" s="8">
        <f>IF(L12="","",L12+4)</f>
        <v/>
      </c>
      <c r="N12" s="6" t="n"/>
      <c r="O12" s="9">
        <f>IF(N12="","",INDEX(Planes!$B$4:$B$6,MATCH(N12,Planes!$A$4:$A$6,0)))</f>
        <v/>
      </c>
      <c r="P12" s="6" t="inlineStr">
        <is>
          <t>Enviar mensaje 1b</t>
        </is>
      </c>
      <c r="Q12" s="6" t="inlineStr"/>
      <c r="R12" s="2" t="inlineStr">
        <is>
          <t>Menú en línea con pedidos a WhatsApp (ola.click)</t>
        </is>
      </c>
      <c r="S12" s="5">
        <f>HYPERLINK("https://arepapas.ola.click/","Ver fuente")</f>
        <v/>
      </c>
    </row>
    <row r="13">
      <c r="A13" s="2" t="n">
        <v>12</v>
      </c>
      <c r="B13" s="3" t="inlineStr">
        <is>
          <t>Alta</t>
        </is>
      </c>
      <c r="C13" s="2" t="inlineStr">
        <is>
          <t>Benditas Papas</t>
        </is>
      </c>
      <c r="D13" s="2" t="inlineStr">
        <is>
          <t>Medellín</t>
        </is>
      </c>
      <c r="E13" s="2" t="inlineStr">
        <is>
          <t>Buenos Aires</t>
        </is>
      </c>
      <c r="F13" s="2" t="inlineStr">
        <is>
          <t>Comida rápida</t>
        </is>
      </c>
      <c r="G13" s="4" t="inlineStr">
        <is>
          <t>3137842015</t>
        </is>
      </c>
      <c r="H13" s="2">
        <f>IF(G13="","Sin número",IF(LEFT(G13,1)="3","Celular","Fijo"))</f>
        <v/>
      </c>
      <c r="I13" s="5" t="inlineStr">
        <is>
          <t>Abrir chat con mensaje</t>
        </is>
      </c>
      <c r="J13" s="2" t="inlineStr">
        <is>
          <t>Cl 50 # 27A-87</t>
        </is>
      </c>
      <c r="K13" s="6" t="inlineStr">
        <is>
          <t>Por contactar</t>
        </is>
      </c>
      <c r="L13" s="7" t="n"/>
      <c r="M13" s="8">
        <f>IF(L13="","",L13+4)</f>
        <v/>
      </c>
      <c r="N13" s="6" t="n"/>
      <c r="O13" s="9">
        <f>IF(N13="","",INDEX(Planes!$B$4:$B$6,MATCH(N13,Planes!$A$4:$A$6,0)))</f>
        <v/>
      </c>
      <c r="P13" s="6" t="inlineStr">
        <is>
          <t>Enviar mensaje 1b</t>
        </is>
      </c>
      <c r="Q13" s="6" t="inlineStr"/>
      <c r="R13" s="2" t="inlineStr">
        <is>
          <t>Menú en línea con pedidos a WhatsApp (ola.click)</t>
        </is>
      </c>
      <c r="S13" s="5">
        <f>HYPERLINK("https://benditas-papas.ola.click/","Ver fuente")</f>
        <v/>
      </c>
    </row>
    <row r="14">
      <c r="A14" s="2" t="n">
        <v>13</v>
      </c>
      <c r="B14" s="3" t="inlineStr">
        <is>
          <t>Alta</t>
        </is>
      </c>
      <c r="C14" s="2" t="inlineStr">
        <is>
          <t>Brosty Combo La Y</t>
        </is>
      </c>
      <c r="D14" s="2" t="inlineStr">
        <is>
          <t>Medellín</t>
        </is>
      </c>
      <c r="E14" s="2" t="inlineStr">
        <is>
          <t>Buenos Aires</t>
        </is>
      </c>
      <c r="F14" s="2" t="inlineStr">
        <is>
          <t>Asadero</t>
        </is>
      </c>
      <c r="G14" s="4" t="inlineStr">
        <is>
          <t>3027017636</t>
        </is>
      </c>
      <c r="H14" s="2">
        <f>IF(G14="","Sin número",IF(LEFT(G14,1)="3","Celular","Fijo"))</f>
        <v/>
      </c>
      <c r="I14" s="5" t="inlineStr">
        <is>
          <t>Abrir chat con mensaje</t>
        </is>
      </c>
      <c r="J14" s="2" t="inlineStr">
        <is>
          <t>Cl 49 # 7-10, Barrios de Jesús</t>
        </is>
      </c>
      <c r="K14" s="6" t="inlineStr">
        <is>
          <t>Por contactar</t>
        </is>
      </c>
      <c r="L14" s="7" t="n"/>
      <c r="M14" s="8">
        <f>IF(L14="","",L14+4)</f>
        <v/>
      </c>
      <c r="N14" s="6" t="n"/>
      <c r="O14" s="9">
        <f>IF(N14="","",INDEX(Planes!$B$4:$B$6,MATCH(N14,Planes!$A$4:$A$6,0)))</f>
        <v/>
      </c>
      <c r="P14" s="6" t="inlineStr">
        <is>
          <t>Enviar mensaje 1b</t>
        </is>
      </c>
      <c r="Q14" s="6" t="inlineStr"/>
      <c r="R14" s="2" t="inlineStr">
        <is>
          <t>Menú en línea con pedidos a WhatsApp (ola.click)</t>
        </is>
      </c>
      <c r="S14" s="5">
        <f>HYPERLINK("https://brosty-combo-la-y.ola.click/","Ver fuente")</f>
        <v/>
      </c>
    </row>
    <row r="15">
      <c r="A15" s="2" t="n">
        <v>14</v>
      </c>
      <c r="B15" s="3" t="inlineStr">
        <is>
          <t>Alta</t>
        </is>
      </c>
      <c r="C15" s="2" t="inlineStr">
        <is>
          <t>Bárbaro Cocina Primitiva</t>
        </is>
      </c>
      <c r="D15" s="2" t="inlineStr">
        <is>
          <t>Medellín</t>
        </is>
      </c>
      <c r="E15" s="2" t="inlineStr">
        <is>
          <t>El Poblado / Laureles</t>
        </is>
      </c>
      <c r="F15" s="2" t="inlineStr">
        <is>
          <t>Restaurante con domicilios</t>
        </is>
      </c>
      <c r="G15" s="4" t="inlineStr">
        <is>
          <t>3176762292</t>
        </is>
      </c>
      <c r="H15" s="2">
        <f>IF(G15="","Sin número",IF(LEFT(G15,1)="3","Celular","Fijo"))</f>
        <v/>
      </c>
      <c r="I15" s="5" t="inlineStr">
        <is>
          <t>Abrir chat con mensaje</t>
        </is>
      </c>
      <c r="J15" s="2" t="inlineStr"/>
      <c r="K15" s="6" t="inlineStr">
        <is>
          <t>Por contactar</t>
        </is>
      </c>
      <c r="L15" s="7" t="n"/>
      <c r="M15" s="8">
        <f>IF(L15="","",L15+4)</f>
        <v/>
      </c>
      <c r="N15" s="6" t="n"/>
      <c r="O15" s="9">
        <f>IF(N15="","",INDEX(Planes!$B$4:$B$6,MATCH(N15,Planes!$A$4:$A$6,0)))</f>
        <v/>
      </c>
      <c r="P15" s="6" t="inlineStr">
        <is>
          <t>Enviar mensaje 1b</t>
        </is>
      </c>
      <c r="Q15" s="6" t="inlineStr"/>
      <c r="R15" s="2" t="inlineStr">
        <is>
          <t>Domicilios por WhatsApp (guía de 2020); Laureles: 3182822160</t>
        </is>
      </c>
      <c r="S15" s="5">
        <f>HYPERLINK("https://medellinguru.com/?p=24707","Ver fuente")</f>
        <v/>
      </c>
    </row>
    <row r="16">
      <c r="A16" s="2" t="n">
        <v>15</v>
      </c>
      <c r="B16" s="3" t="inlineStr">
        <is>
          <t>Alta</t>
        </is>
      </c>
      <c r="C16" s="2" t="inlineStr">
        <is>
          <t>Casa del Arroz</t>
        </is>
      </c>
      <c r="D16" s="2" t="inlineStr">
        <is>
          <t>Medellín</t>
        </is>
      </c>
      <c r="E16" s="2" t="inlineStr">
        <is>
          <t>Belén</t>
        </is>
      </c>
      <c r="F16" s="2" t="inlineStr">
        <is>
          <t>Arroces</t>
        </is>
      </c>
      <c r="G16" s="4" t="inlineStr">
        <is>
          <t>3019075390</t>
        </is>
      </c>
      <c r="H16" s="2">
        <f>IF(G16="","Sin número",IF(LEFT(G16,1)="3","Celular","Fijo"))</f>
        <v/>
      </c>
      <c r="I16" s="5" t="inlineStr">
        <is>
          <t>Abrir chat con mensaje</t>
        </is>
      </c>
      <c r="J16" s="2" t="inlineStr">
        <is>
          <t>Cl 30A # 82A-26</t>
        </is>
      </c>
      <c r="K16" s="6" t="inlineStr">
        <is>
          <t>Por contactar</t>
        </is>
      </c>
      <c r="L16" s="7" t="n"/>
      <c r="M16" s="8">
        <f>IF(L16="","",L16+4)</f>
        <v/>
      </c>
      <c r="N16" s="6" t="n"/>
      <c r="O16" s="9">
        <f>IF(N16="","",INDEX(Planes!$B$4:$B$6,MATCH(N16,Planes!$A$4:$A$6,0)))</f>
        <v/>
      </c>
      <c r="P16" s="6" t="inlineStr">
        <is>
          <t>Enviar mensaje 1b</t>
        </is>
      </c>
      <c r="Q16" s="6" t="inlineStr"/>
      <c r="R16" s="2" t="inlineStr">
        <is>
          <t>Menú en línea con pedidos a WhatsApp (ola.click)</t>
        </is>
      </c>
      <c r="S16" s="5">
        <f>HYPERLINK("https://casa-del-arroz.ola.click/","Ver fuente")</f>
        <v/>
      </c>
    </row>
    <row r="17">
      <c r="A17" s="2" t="n">
        <v>16</v>
      </c>
      <c r="B17" s="3" t="inlineStr">
        <is>
          <t>Alta</t>
        </is>
      </c>
      <c r="C17" s="2" t="inlineStr">
        <is>
          <t>Comidas Rápidas de la Villa</t>
        </is>
      </c>
      <c r="D17" s="2" t="inlineStr">
        <is>
          <t>Medellín</t>
        </is>
      </c>
      <c r="E17" s="2" t="inlineStr">
        <is>
          <t>Belén</t>
        </is>
      </c>
      <c r="F17" s="2" t="inlineStr">
        <is>
          <t>Comida rápida</t>
        </is>
      </c>
      <c r="G17" s="4" t="inlineStr">
        <is>
          <t>3015745474</t>
        </is>
      </c>
      <c r="H17" s="2">
        <f>IF(G17="","Sin número",IF(LEFT(G17,1)="3","Celular","Fijo"))</f>
        <v/>
      </c>
      <c r="I17" s="5" t="inlineStr">
        <is>
          <t>Abrir chat con mensaje</t>
        </is>
      </c>
      <c r="J17" s="2" t="inlineStr">
        <is>
          <t>Cra 81 # 32C-2</t>
        </is>
      </c>
      <c r="K17" s="6" t="inlineStr">
        <is>
          <t>Por contactar</t>
        </is>
      </c>
      <c r="L17" s="7" t="n"/>
      <c r="M17" s="8">
        <f>IF(L17="","",L17+4)</f>
        <v/>
      </c>
      <c r="N17" s="6" t="n"/>
      <c r="O17" s="9">
        <f>IF(N17="","",INDEX(Planes!$B$4:$B$6,MATCH(N17,Planes!$A$4:$A$6,0)))</f>
        <v/>
      </c>
      <c r="P17" s="6" t="inlineStr">
        <is>
          <t>Enviar mensaje 1b</t>
        </is>
      </c>
      <c r="Q17" s="6" t="inlineStr"/>
      <c r="R17" s="2" t="inlineStr">
        <is>
          <t>Menú en línea con pedidos a WhatsApp (ola.click)</t>
        </is>
      </c>
      <c r="S17" s="5">
        <f>HYPERLINK("https://comidas-rapidas-juan.ola.click/","Ver fuente")</f>
        <v/>
      </c>
    </row>
    <row r="18">
      <c r="A18" s="2" t="n">
        <v>17</v>
      </c>
      <c r="B18" s="3" t="inlineStr">
        <is>
          <t>Alta</t>
        </is>
      </c>
      <c r="C18" s="2" t="inlineStr">
        <is>
          <t>Comidas Rápidas DTia</t>
        </is>
      </c>
      <c r="D18" s="2" t="inlineStr">
        <is>
          <t>Medellín</t>
        </is>
      </c>
      <c r="E18" s="2" t="inlineStr">
        <is>
          <t>Aranjuez</t>
        </is>
      </c>
      <c r="F18" s="2" t="inlineStr">
        <is>
          <t>Comida rápida</t>
        </is>
      </c>
      <c r="G18" s="4" t="inlineStr">
        <is>
          <t>3002025959</t>
        </is>
      </c>
      <c r="H18" s="2">
        <f>IF(G18="","Sin número",IF(LEFT(G18,1)="3","Celular","Fijo"))</f>
        <v/>
      </c>
      <c r="I18" s="5" t="inlineStr">
        <is>
          <t>Abrir chat con mensaje</t>
        </is>
      </c>
      <c r="J18" s="2" t="inlineStr">
        <is>
          <t>Cra 53 # 94-71</t>
        </is>
      </c>
      <c r="K18" s="6" t="inlineStr">
        <is>
          <t>Por contactar</t>
        </is>
      </c>
      <c r="L18" s="7" t="n"/>
      <c r="M18" s="8">
        <f>IF(L18="","",L18+4)</f>
        <v/>
      </c>
      <c r="N18" s="6" t="n"/>
      <c r="O18" s="9">
        <f>IF(N18="","",INDEX(Planes!$B$4:$B$6,MATCH(N18,Planes!$A$4:$A$6,0)))</f>
        <v/>
      </c>
      <c r="P18" s="6" t="inlineStr">
        <is>
          <t>Enviar mensaje 1b</t>
        </is>
      </c>
      <c r="Q18" s="6" t="inlineStr"/>
      <c r="R18" s="2" t="inlineStr">
        <is>
          <t>Menú en línea con pedidos a WhatsApp (ola.click)</t>
        </is>
      </c>
      <c r="S18" s="5">
        <f>HYPERLINK("https://comidasrapidas-dtia.ola.click/","Ver fuente")</f>
        <v/>
      </c>
    </row>
    <row r="19">
      <c r="A19" s="2" t="n">
        <v>18</v>
      </c>
      <c r="B19" s="3" t="inlineStr">
        <is>
          <t>Alta</t>
        </is>
      </c>
      <c r="C19" s="2" t="inlineStr">
        <is>
          <t>Correo Carne y Vino</t>
        </is>
      </c>
      <c r="D19" s="2" t="inlineStr">
        <is>
          <t>Medellín</t>
        </is>
      </c>
      <c r="E19" s="2" t="inlineStr">
        <is>
          <t>Laureles</t>
        </is>
      </c>
      <c r="F19" s="2" t="inlineStr">
        <is>
          <t>Restaurante con domicilios</t>
        </is>
      </c>
      <c r="G19" s="4" t="inlineStr">
        <is>
          <t>3107693578</t>
        </is>
      </c>
      <c r="H19" s="2">
        <f>IF(G19="","Sin número",IF(LEFT(G19,1)="3","Celular","Fijo"))</f>
        <v/>
      </c>
      <c r="I19" s="5" t="inlineStr">
        <is>
          <t>Abrir chat con mensaje</t>
        </is>
      </c>
      <c r="J19" s="2" t="inlineStr"/>
      <c r="K19" s="6" t="inlineStr">
        <is>
          <t>Por contactar</t>
        </is>
      </c>
      <c r="L19" s="7" t="n"/>
      <c r="M19" s="8">
        <f>IF(L19="","",L19+4)</f>
        <v/>
      </c>
      <c r="N19" s="6" t="n"/>
      <c r="O19" s="9">
        <f>IF(N19="","",INDEX(Planes!$B$4:$B$6,MATCH(N19,Planes!$A$4:$A$6,0)))</f>
        <v/>
      </c>
      <c r="P19" s="6" t="inlineStr">
        <is>
          <t>Enviar mensaje 1b</t>
        </is>
      </c>
      <c r="Q19" s="6" t="inlineStr"/>
      <c r="R19" s="2" t="inlineStr">
        <is>
          <t>Domicilios por WhatsApp (guía de 2020)</t>
        </is>
      </c>
      <c r="S19" s="5">
        <f>HYPERLINK("https://medellinguru.com/?p=24707","Ver fuente")</f>
        <v/>
      </c>
    </row>
    <row r="20">
      <c r="A20" s="2" t="n">
        <v>19</v>
      </c>
      <c r="B20" s="3" t="inlineStr">
        <is>
          <t>Alta</t>
        </is>
      </c>
      <c r="C20" s="2" t="inlineStr">
        <is>
          <t>CR Delicias del Barrio</t>
        </is>
      </c>
      <c r="D20" s="2" t="inlineStr">
        <is>
          <t>Medellín</t>
        </is>
      </c>
      <c r="E20" s="2" t="inlineStr">
        <is>
          <t>Aranjuez</t>
        </is>
      </c>
      <c r="F20" s="2" t="inlineStr">
        <is>
          <t>Comida casera</t>
        </is>
      </c>
      <c r="G20" s="4" t="inlineStr">
        <is>
          <t>3135566907</t>
        </is>
      </c>
      <c r="H20" s="2">
        <f>IF(G20="","Sin número",IF(LEFT(G20,1)="3","Celular","Fijo"))</f>
        <v/>
      </c>
      <c r="I20" s="5" t="inlineStr">
        <is>
          <t>Abrir chat con mensaje</t>
        </is>
      </c>
      <c r="J20" s="2" t="inlineStr">
        <is>
          <t>Cl 85 # 57A-99</t>
        </is>
      </c>
      <c r="K20" s="6" t="inlineStr">
        <is>
          <t>Por contactar</t>
        </is>
      </c>
      <c r="L20" s="7" t="n"/>
      <c r="M20" s="8">
        <f>IF(L20="","",L20+4)</f>
        <v/>
      </c>
      <c r="N20" s="6" t="n"/>
      <c r="O20" s="9">
        <f>IF(N20="","",INDEX(Planes!$B$4:$B$6,MATCH(N20,Planes!$A$4:$A$6,0)))</f>
        <v/>
      </c>
      <c r="P20" s="6" t="inlineStr">
        <is>
          <t>Enviar mensaje 1b</t>
        </is>
      </c>
      <c r="Q20" s="6" t="inlineStr"/>
      <c r="R20" s="2" t="inlineStr">
        <is>
          <t>Menú en línea con pedidos a WhatsApp (ola.click)</t>
        </is>
      </c>
      <c r="S20" s="5">
        <f>HYPERLINK("https://cr-delicias-del-barrio.ola.click/","Ver fuente")</f>
        <v/>
      </c>
    </row>
    <row r="21">
      <c r="A21" s="2" t="n">
        <v>20</v>
      </c>
      <c r="B21" s="3" t="inlineStr">
        <is>
          <t>Alta</t>
        </is>
      </c>
      <c r="C21" s="2" t="inlineStr">
        <is>
          <t>Criollas House</t>
        </is>
      </c>
      <c r="D21" s="2" t="inlineStr">
        <is>
          <t>Medellín</t>
        </is>
      </c>
      <c r="E21" s="2" t="inlineStr"/>
      <c r="F21" s="2" t="inlineStr">
        <is>
          <t>Comida rápida</t>
        </is>
      </c>
      <c r="G21" s="4" t="inlineStr">
        <is>
          <t>3246020193</t>
        </is>
      </c>
      <c r="H21" s="2">
        <f>IF(G21="","Sin número",IF(LEFT(G21,1)="3","Celular","Fijo"))</f>
        <v/>
      </c>
      <c r="I21" s="5" t="inlineStr">
        <is>
          <t>Abrir chat con mensaje</t>
        </is>
      </c>
      <c r="J21" s="2" t="inlineStr">
        <is>
          <t>Cl 91 # 50C-43</t>
        </is>
      </c>
      <c r="K21" s="6" t="inlineStr">
        <is>
          <t>Por contactar</t>
        </is>
      </c>
      <c r="L21" s="7" t="n"/>
      <c r="M21" s="8">
        <f>IF(L21="","",L21+4)</f>
        <v/>
      </c>
      <c r="N21" s="6" t="n"/>
      <c r="O21" s="9">
        <f>IF(N21="","",INDEX(Planes!$B$4:$B$6,MATCH(N21,Planes!$A$4:$A$6,0)))</f>
        <v/>
      </c>
      <c r="P21" s="6" t="inlineStr">
        <is>
          <t>Enviar mensaje 1b</t>
        </is>
      </c>
      <c r="Q21" s="6" t="inlineStr"/>
      <c r="R21" s="2" t="inlineStr">
        <is>
          <t>Menú en línea con pedidos a WhatsApp (ola.click)</t>
        </is>
      </c>
      <c r="S21" s="5">
        <f>HYPERLINK("https://criollashouse.ola.click/","Ver fuente")</f>
        <v/>
      </c>
    </row>
    <row r="22">
      <c r="A22" s="2" t="n">
        <v>21</v>
      </c>
      <c r="B22" s="3" t="inlineStr">
        <is>
          <t>Alta</t>
        </is>
      </c>
      <c r="C22" s="2" t="inlineStr">
        <is>
          <t>Deliperros y Parrilla</t>
        </is>
      </c>
      <c r="D22" s="2" t="inlineStr">
        <is>
          <t>Medellín</t>
        </is>
      </c>
      <c r="E22" s="2" t="inlineStr"/>
      <c r="F22" s="2" t="inlineStr">
        <is>
          <t>Comida rápida</t>
        </is>
      </c>
      <c r="G22" s="4" t="inlineStr">
        <is>
          <t>3206544335</t>
        </is>
      </c>
      <c r="H22" s="2">
        <f>IF(G22="","Sin número",IF(LEFT(G22,1)="3","Celular","Fijo"))</f>
        <v/>
      </c>
      <c r="I22" s="5" t="inlineStr">
        <is>
          <t>Abrir chat con mensaje</t>
        </is>
      </c>
      <c r="J22" s="2" t="inlineStr">
        <is>
          <t>Cl 60 # 75-40</t>
        </is>
      </c>
      <c r="K22" s="6" t="inlineStr">
        <is>
          <t>Por contactar</t>
        </is>
      </c>
      <c r="L22" s="7" t="n"/>
      <c r="M22" s="8">
        <f>IF(L22="","",L22+4)</f>
        <v/>
      </c>
      <c r="N22" s="6" t="n"/>
      <c r="O22" s="9">
        <f>IF(N22="","",INDEX(Planes!$B$4:$B$6,MATCH(N22,Planes!$A$4:$A$6,0)))</f>
        <v/>
      </c>
      <c r="P22" s="6" t="inlineStr">
        <is>
          <t>Enviar mensaje 1b</t>
        </is>
      </c>
      <c r="Q22" s="6" t="inlineStr"/>
      <c r="R22" s="2" t="inlineStr">
        <is>
          <t>Menú en línea con pedidos a WhatsApp (ola.click)</t>
        </is>
      </c>
      <c r="S22" s="5">
        <f>HYPERLINK("https://deliperrosyparrilla.ola.click/","Ver fuente")</f>
        <v/>
      </c>
    </row>
    <row r="23">
      <c r="A23" s="2" t="n">
        <v>22</v>
      </c>
      <c r="B23" s="3" t="inlineStr">
        <is>
          <t>Alta</t>
        </is>
      </c>
      <c r="C23" s="2" t="inlineStr">
        <is>
          <t>Delirio Exquisito</t>
        </is>
      </c>
      <c r="D23" s="2" t="inlineStr">
        <is>
          <t>Medellín</t>
        </is>
      </c>
      <c r="E23" s="2" t="inlineStr">
        <is>
          <t>El Poblado / Laureles</t>
        </is>
      </c>
      <c r="F23" s="2" t="inlineStr">
        <is>
          <t>Restaurante con domicilios</t>
        </is>
      </c>
      <c r="G23" s="4" t="inlineStr">
        <is>
          <t>3113663840</t>
        </is>
      </c>
      <c r="H23" s="2">
        <f>IF(G23="","Sin número",IF(LEFT(G23,1)="3","Celular","Fijo"))</f>
        <v/>
      </c>
      <c r="I23" s="5" t="inlineStr">
        <is>
          <t>Abrir chat con mensaje</t>
        </is>
      </c>
      <c r="J23" s="2" t="inlineStr"/>
      <c r="K23" s="6" t="inlineStr">
        <is>
          <t>Por contactar</t>
        </is>
      </c>
      <c r="L23" s="7" t="n"/>
      <c r="M23" s="8">
        <f>IF(L23="","",L23+4)</f>
        <v/>
      </c>
      <c r="N23" s="6" t="n"/>
      <c r="O23" s="9">
        <f>IF(N23="","",INDEX(Planes!$B$4:$B$6,MATCH(N23,Planes!$A$4:$A$6,0)))</f>
        <v/>
      </c>
      <c r="P23" s="6" t="inlineStr">
        <is>
          <t>Enviar mensaje 1b</t>
        </is>
      </c>
      <c r="Q23" s="6" t="inlineStr">
        <is>
          <t>Otro número: 3505671075</t>
        </is>
      </c>
      <c r="R23" s="2" t="inlineStr">
        <is>
          <t>Domicilios por WhatsApp (guía de 2020)</t>
        </is>
      </c>
      <c r="S23" s="5">
        <f>HYPERLINK("https://medellinguru.com/?p=24612","Ver fuente")</f>
        <v/>
      </c>
    </row>
    <row r="24">
      <c r="A24" s="2" t="n">
        <v>23</v>
      </c>
      <c r="B24" s="3" t="inlineStr">
        <is>
          <t>Alta</t>
        </is>
      </c>
      <c r="C24" s="2" t="inlineStr">
        <is>
          <t>Due Amici Pizzería</t>
        </is>
      </c>
      <c r="D24" s="2" t="inlineStr">
        <is>
          <t>Medellín</t>
        </is>
      </c>
      <c r="E24" s="2" t="inlineStr">
        <is>
          <t>Laureles</t>
        </is>
      </c>
      <c r="F24" s="2" t="inlineStr">
        <is>
          <t>Pizzería</t>
        </is>
      </c>
      <c r="G24" s="4" t="inlineStr">
        <is>
          <t>3107693578</t>
        </is>
      </c>
      <c r="H24" s="2">
        <f>IF(G24="","Sin número",IF(LEFT(G24,1)="3","Celular","Fijo"))</f>
        <v/>
      </c>
      <c r="I24" s="5" t="inlineStr">
        <is>
          <t>Abrir chat con mensaje</t>
        </is>
      </c>
      <c r="J24" s="2" t="inlineStr"/>
      <c r="K24" s="6" t="inlineStr">
        <is>
          <t>Por contactar</t>
        </is>
      </c>
      <c r="L24" s="7" t="n"/>
      <c r="M24" s="8">
        <f>IF(L24="","",L24+4)</f>
        <v/>
      </c>
      <c r="N24" s="6" t="n"/>
      <c r="O24" s="9">
        <f>IF(N24="","",INDEX(Planes!$B$4:$B$6,MATCH(N24,Planes!$A$4:$A$6,0)))</f>
        <v/>
      </c>
      <c r="P24" s="6" t="inlineStr">
        <is>
          <t>Enviar mensaje 1b</t>
        </is>
      </c>
      <c r="Q24" s="6" t="inlineStr"/>
      <c r="R24" s="2" t="inlineStr">
        <is>
          <t>Domicilios por WhatsApp (guía de 2020); el mismo número aparece para Correo Carne y Vino</t>
        </is>
      </c>
      <c r="S24" s="5">
        <f>HYPERLINK("https://medellinguru.com/laureles-with-domicilio/","Ver fuente")</f>
        <v/>
      </c>
    </row>
    <row r="25">
      <c r="A25" s="2" t="n">
        <v>24</v>
      </c>
      <c r="B25" s="3" t="inlineStr">
        <is>
          <t>Alta</t>
        </is>
      </c>
      <c r="C25" s="2" t="inlineStr">
        <is>
          <t>El Puto Taco</t>
        </is>
      </c>
      <c r="D25" s="2" t="inlineStr">
        <is>
          <t>Medellín</t>
        </is>
      </c>
      <c r="E25" s="2" t="inlineStr">
        <is>
          <t>Laureles</t>
        </is>
      </c>
      <c r="F25" s="2" t="inlineStr">
        <is>
          <t>Comida mexicana</t>
        </is>
      </c>
      <c r="G25" s="4" t="n"/>
      <c r="H25" s="2">
        <f>IF(G25="","Sin número",IF(LEFT(G25,1)="3","Celular","Fijo"))</f>
        <v/>
      </c>
      <c r="I25" s="5" t="n"/>
      <c r="J25" s="2" t="inlineStr">
        <is>
          <t>Tv 5A # 45-337</t>
        </is>
      </c>
      <c r="K25" s="6" t="inlineStr">
        <is>
          <t>Por contactar</t>
        </is>
      </c>
      <c r="L25" s="7" t="n"/>
      <c r="M25" s="8">
        <f>IF(L25="","",L25+4)</f>
        <v/>
      </c>
      <c r="N25" s="6" t="n"/>
      <c r="O25" s="9">
        <f>IF(N25="","",INDEX(Planes!$B$4:$B$6,MATCH(N25,Planes!$A$4:$A$6,0)))</f>
        <v/>
      </c>
      <c r="P25" s="6" t="inlineStr">
        <is>
          <t>Escribir por el botón de WhatsApp de su menú en línea</t>
        </is>
      </c>
      <c r="Q25" s="6" t="inlineStr"/>
      <c r="R25" s="2" t="inlineStr">
        <is>
          <t>Menú en línea con pedidos a WhatsApp (ola.click)</t>
        </is>
      </c>
      <c r="S25" s="5">
        <f>HYPERLINK("https://elputotaco2.ola.click/products","Ver fuente")</f>
        <v/>
      </c>
    </row>
    <row r="26">
      <c r="A26" s="2" t="n">
        <v>25</v>
      </c>
      <c r="B26" s="3" t="inlineStr">
        <is>
          <t>Alta</t>
        </is>
      </c>
      <c r="C26" s="2" t="inlineStr">
        <is>
          <t>Escudero's BBQ</t>
        </is>
      </c>
      <c r="D26" s="2" t="inlineStr">
        <is>
          <t>Medellín</t>
        </is>
      </c>
      <c r="E26" s="2" t="inlineStr">
        <is>
          <t>Guayabal</t>
        </is>
      </c>
      <c r="F26" s="2" t="inlineStr">
        <is>
          <t>Parrilla</t>
        </is>
      </c>
      <c r="G26" s="4" t="inlineStr">
        <is>
          <t>3017478418</t>
        </is>
      </c>
      <c r="H26" s="2">
        <f>IF(G26="","Sin número",IF(LEFT(G26,1)="3","Celular","Fijo"))</f>
        <v/>
      </c>
      <c r="I26" s="5" t="inlineStr">
        <is>
          <t>Abrir chat con mensaje</t>
        </is>
      </c>
      <c r="J26" s="2" t="inlineStr">
        <is>
          <t>Cl 1 # 53-62</t>
        </is>
      </c>
      <c r="K26" s="6" t="inlineStr">
        <is>
          <t>Por contactar</t>
        </is>
      </c>
      <c r="L26" s="7" t="n"/>
      <c r="M26" s="8">
        <f>IF(L26="","",L26+4)</f>
        <v/>
      </c>
      <c r="N26" s="6" t="n"/>
      <c r="O26" s="9">
        <f>IF(N26="","",INDEX(Planes!$B$4:$B$6,MATCH(N26,Planes!$A$4:$A$6,0)))</f>
        <v/>
      </c>
      <c r="P26" s="6" t="inlineStr">
        <is>
          <t>Enviar mensaje 1b</t>
        </is>
      </c>
      <c r="Q26" s="6" t="inlineStr"/>
      <c r="R26" s="2" t="inlineStr">
        <is>
          <t>Menú en línea con pedidos a WhatsApp (ola.click)</t>
        </is>
      </c>
      <c r="S26" s="5">
        <f>HYPERLINK("https://escuderosbbq.ola.click/","Ver fuente")</f>
        <v/>
      </c>
    </row>
    <row r="27">
      <c r="A27" s="2" t="n">
        <v>26</v>
      </c>
      <c r="B27" s="3" t="inlineStr">
        <is>
          <t>Alta</t>
        </is>
      </c>
      <c r="C27" s="2" t="inlineStr">
        <is>
          <t>Freedog Oviedo</t>
        </is>
      </c>
      <c r="D27" s="2" t="inlineStr">
        <is>
          <t>Medellín</t>
        </is>
      </c>
      <c r="E27" s="2" t="inlineStr">
        <is>
          <t>El Poblado</t>
        </is>
      </c>
      <c r="F27" s="2" t="inlineStr">
        <is>
          <t>Comida rápida</t>
        </is>
      </c>
      <c r="G27" s="4" t="n"/>
      <c r="H27" s="2">
        <f>IF(G27="","Sin número",IF(LEFT(G27,1)="3","Celular","Fijo"))</f>
        <v/>
      </c>
      <c r="I27" s="5" t="n"/>
      <c r="J27" s="2" t="inlineStr">
        <is>
          <t>Cra 43A # 6 Sur-15</t>
        </is>
      </c>
      <c r="K27" s="6" t="inlineStr">
        <is>
          <t>Por contactar</t>
        </is>
      </c>
      <c r="L27" s="7" t="n"/>
      <c r="M27" s="8">
        <f>IF(L27="","",L27+4)</f>
        <v/>
      </c>
      <c r="N27" s="6" t="n"/>
      <c r="O27" s="9">
        <f>IF(N27="","",INDEX(Planes!$B$4:$B$6,MATCH(N27,Planes!$A$4:$A$6,0)))</f>
        <v/>
      </c>
      <c r="P27" s="6" t="inlineStr">
        <is>
          <t>Escribir por el botón de WhatsApp de su menú en línea</t>
        </is>
      </c>
      <c r="Q27" s="6" t="inlineStr"/>
      <c r="R27" s="2" t="inlineStr">
        <is>
          <t>Menú en línea con pedidos a WhatsApp (ola.click)</t>
        </is>
      </c>
      <c r="S27" s="5">
        <f>HYPERLINK("https://freedogcolombia.ola.click/","Ver fuente")</f>
        <v/>
      </c>
    </row>
    <row r="28">
      <c r="A28" s="2" t="n">
        <v>27</v>
      </c>
      <c r="B28" s="3" t="inlineStr">
        <is>
          <t>Alta</t>
        </is>
      </c>
      <c r="C28" s="2" t="inlineStr">
        <is>
          <t>Kuelap</t>
        </is>
      </c>
      <c r="D28" s="2" t="inlineStr">
        <is>
          <t>Medellín</t>
        </is>
      </c>
      <c r="E28" s="2" t="inlineStr">
        <is>
          <t>El Poblado</t>
        </is>
      </c>
      <c r="F28" s="2" t="inlineStr">
        <is>
          <t>Restaurante peruano</t>
        </is>
      </c>
      <c r="G28" s="4" t="inlineStr">
        <is>
          <t>3164312245</t>
        </is>
      </c>
      <c r="H28" s="2">
        <f>IF(G28="","Sin número",IF(LEFT(G28,1)="3","Celular","Fijo"))</f>
        <v/>
      </c>
      <c r="I28" s="5" t="inlineStr">
        <is>
          <t>Abrir chat con mensaje</t>
        </is>
      </c>
      <c r="J28" s="2" t="inlineStr">
        <is>
          <t>Cl 3 Sur # 43A-40</t>
        </is>
      </c>
      <c r="K28" s="6" t="inlineStr">
        <is>
          <t>Por contactar</t>
        </is>
      </c>
      <c r="L28" s="7" t="n"/>
      <c r="M28" s="8">
        <f>IF(L28="","",L28+4)</f>
        <v/>
      </c>
      <c r="N28" s="6" t="n"/>
      <c r="O28" s="9">
        <f>IF(N28="","",INDEX(Planes!$B$4:$B$6,MATCH(N28,Planes!$A$4:$A$6,0)))</f>
        <v/>
      </c>
      <c r="P28" s="6" t="inlineStr">
        <is>
          <t>Enviar mensaje 1b</t>
        </is>
      </c>
      <c r="Q28" s="6" t="inlineStr"/>
      <c r="R28" s="2" t="inlineStr">
        <is>
          <t>Domicilios por WhatsApp (guía de 2020)</t>
        </is>
      </c>
      <c r="S28" s="5">
        <f>HYPERLINK("https://medellinguru.com/kuelap/","Ver fuente")</f>
        <v/>
      </c>
    </row>
    <row r="29">
      <c r="A29" s="2" t="n">
        <v>28</v>
      </c>
      <c r="B29" s="3" t="inlineStr">
        <is>
          <t>Alta</t>
        </is>
      </c>
      <c r="C29" s="2" t="inlineStr">
        <is>
          <t>La Chimichanga</t>
        </is>
      </c>
      <c r="D29" s="2" t="inlineStr">
        <is>
          <t>Medellín</t>
        </is>
      </c>
      <c r="E29" s="2" t="inlineStr">
        <is>
          <t>Belén</t>
        </is>
      </c>
      <c r="F29" s="2" t="inlineStr">
        <is>
          <t>Comida mexicana</t>
        </is>
      </c>
      <c r="G29" s="4" t="inlineStr">
        <is>
          <t>3015312571</t>
        </is>
      </c>
      <c r="H29" s="2">
        <f>IF(G29="","Sin número",IF(LEFT(G29,1)="3","Celular","Fijo"))</f>
        <v/>
      </c>
      <c r="I29" s="5" t="inlineStr">
        <is>
          <t>Abrir chat con mensaje</t>
        </is>
      </c>
      <c r="J29" s="2" t="inlineStr">
        <is>
          <t>Cl 3C # 77A-14</t>
        </is>
      </c>
      <c r="K29" s="6" t="inlineStr">
        <is>
          <t>Por contactar</t>
        </is>
      </c>
      <c r="L29" s="7" t="n"/>
      <c r="M29" s="8">
        <f>IF(L29="","",L29+4)</f>
        <v/>
      </c>
      <c r="N29" s="6" t="n"/>
      <c r="O29" s="9">
        <f>IF(N29="","",INDEX(Planes!$B$4:$B$6,MATCH(N29,Planes!$A$4:$A$6,0)))</f>
        <v/>
      </c>
      <c r="P29" s="6" t="inlineStr">
        <is>
          <t>Enviar mensaje 1b</t>
        </is>
      </c>
      <c r="Q29" s="6" t="inlineStr"/>
      <c r="R29" s="2" t="inlineStr">
        <is>
          <t>Menú en línea con pedidos a WhatsApp (ola.click)</t>
        </is>
      </c>
      <c r="S29" s="5">
        <f>HYPERLINK("https://lachimichanga.ola.click/","Ver fuente")</f>
        <v/>
      </c>
    </row>
    <row r="30">
      <c r="A30" s="2" t="n">
        <v>29</v>
      </c>
      <c r="B30" s="3" t="inlineStr">
        <is>
          <t>Alta</t>
        </is>
      </c>
      <c r="C30" s="2" t="inlineStr">
        <is>
          <t>La Chorizería</t>
        </is>
      </c>
      <c r="D30" s="2" t="inlineStr">
        <is>
          <t>Medellín</t>
        </is>
      </c>
      <c r="E30" s="2" t="inlineStr">
        <is>
          <t>Laureles</t>
        </is>
      </c>
      <c r="F30" s="2" t="inlineStr">
        <is>
          <t>Comida rápida</t>
        </is>
      </c>
      <c r="G30" s="4" t="inlineStr">
        <is>
          <t>3112073817</t>
        </is>
      </c>
      <c r="H30" s="2">
        <f>IF(G30="","Sin número",IF(LEFT(G30,1)="3","Celular","Fijo"))</f>
        <v/>
      </c>
      <c r="I30" s="5" t="inlineStr">
        <is>
          <t>Abrir chat con mensaje</t>
        </is>
      </c>
      <c r="J30" s="2" t="inlineStr">
        <is>
          <t>Cl 35 # 80A-70</t>
        </is>
      </c>
      <c r="K30" s="6" t="inlineStr">
        <is>
          <t>Por contactar</t>
        </is>
      </c>
      <c r="L30" s="7" t="n"/>
      <c r="M30" s="8">
        <f>IF(L30="","",L30+4)</f>
        <v/>
      </c>
      <c r="N30" s="6" t="n"/>
      <c r="O30" s="9">
        <f>IF(N30="","",INDEX(Planes!$B$4:$B$6,MATCH(N30,Planes!$A$4:$A$6,0)))</f>
        <v/>
      </c>
      <c r="P30" s="6" t="inlineStr">
        <is>
          <t>Enviar mensaje 1b</t>
        </is>
      </c>
      <c r="Q30" s="6" t="inlineStr"/>
      <c r="R30" s="2" t="inlineStr">
        <is>
          <t>Menú en línea con pedidos a WhatsApp (ola.click)</t>
        </is>
      </c>
      <c r="S30" s="5">
        <f>HYPERLINK("https://la-choriceria.ola.click/","Ver fuente")</f>
        <v/>
      </c>
    </row>
    <row r="31">
      <c r="A31" s="2" t="n">
        <v>30</v>
      </c>
      <c r="B31" s="3" t="inlineStr">
        <is>
          <t>Alta</t>
        </is>
      </c>
      <c r="C31" s="2" t="inlineStr">
        <is>
          <t>La Eterna</t>
        </is>
      </c>
      <c r="D31" s="2" t="inlineStr">
        <is>
          <t>Medellín</t>
        </is>
      </c>
      <c r="E31" s="2" t="inlineStr">
        <is>
          <t>La Candelaria</t>
        </is>
      </c>
      <c r="F31" s="2" t="inlineStr">
        <is>
          <t>Restaurante</t>
        </is>
      </c>
      <c r="G31" s="4" t="inlineStr">
        <is>
          <t>3107364695</t>
        </is>
      </c>
      <c r="H31" s="2">
        <f>IF(G31="","Sin número",IF(LEFT(G31,1)="3","Celular","Fijo"))</f>
        <v/>
      </c>
      <c r="I31" s="5" t="inlineStr">
        <is>
          <t>Abrir chat con mensaje</t>
        </is>
      </c>
      <c r="J31" s="2" t="inlineStr">
        <is>
          <t>Cra 50D # 66-39</t>
        </is>
      </c>
      <c r="K31" s="6" t="inlineStr">
        <is>
          <t>Por contactar</t>
        </is>
      </c>
      <c r="L31" s="7" t="n"/>
      <c r="M31" s="8">
        <f>IF(L31="","",L31+4)</f>
        <v/>
      </c>
      <c r="N31" s="6" t="n"/>
      <c r="O31" s="9">
        <f>IF(N31="","",INDEX(Planes!$B$4:$B$6,MATCH(N31,Planes!$A$4:$A$6,0)))</f>
        <v/>
      </c>
      <c r="P31" s="6" t="inlineStr">
        <is>
          <t>Enviar mensaje 1b</t>
        </is>
      </c>
      <c r="Q31" s="6" t="inlineStr"/>
      <c r="R31" s="2" t="inlineStr">
        <is>
          <t>Menú en línea con pedidos a WhatsApp (ola.click)</t>
        </is>
      </c>
      <c r="S31" s="5">
        <f>HYPERLINK("https://la-eterna-2.ola.click/","Ver fuente")</f>
        <v/>
      </c>
    </row>
    <row r="32">
      <c r="A32" s="2" t="n">
        <v>31</v>
      </c>
      <c r="B32" s="3" t="inlineStr">
        <is>
          <t>Alta</t>
        </is>
      </c>
      <c r="C32" s="2" t="inlineStr">
        <is>
          <t>La Locura de Celia</t>
        </is>
      </c>
      <c r="D32" s="2" t="inlineStr">
        <is>
          <t>Medellín</t>
        </is>
      </c>
      <c r="E32" s="2" t="inlineStr">
        <is>
          <t>Laureles</t>
        </is>
      </c>
      <c r="F32" s="2" t="inlineStr">
        <is>
          <t>Asadero</t>
        </is>
      </c>
      <c r="G32" s="4" t="n"/>
      <c r="H32" s="2">
        <f>IF(G32="","Sin número",IF(LEFT(G32,1)="3","Celular","Fijo"))</f>
        <v/>
      </c>
      <c r="I32" s="5" t="n"/>
      <c r="J32" s="2" t="inlineStr">
        <is>
          <t>Cra 80A # 35-13</t>
        </is>
      </c>
      <c r="K32" s="6" t="inlineStr">
        <is>
          <t>Por contactar</t>
        </is>
      </c>
      <c r="L32" s="7" t="n"/>
      <c r="M32" s="8">
        <f>IF(L32="","",L32+4)</f>
        <v/>
      </c>
      <c r="N32" s="6" t="n"/>
      <c r="O32" s="9">
        <f>IF(N32="","",INDEX(Planes!$B$4:$B$6,MATCH(N32,Planes!$A$4:$A$6,0)))</f>
        <v/>
      </c>
      <c r="P32" s="6" t="inlineStr">
        <is>
          <t>Escribir por el botón de WhatsApp de su menú en línea</t>
        </is>
      </c>
      <c r="Q32" s="6" t="inlineStr"/>
      <c r="R32" s="2" t="inlineStr">
        <is>
          <t>Menú en línea con pedidos a WhatsApp (ola.click)</t>
        </is>
      </c>
      <c r="S32" s="5">
        <f>HYPERLINK("https://la-locura-de-celia-asado-restaurante.ola.click/","Ver fuente")</f>
        <v/>
      </c>
    </row>
    <row r="33">
      <c r="A33" s="2" t="n">
        <v>32</v>
      </c>
      <c r="B33" s="3" t="inlineStr">
        <is>
          <t>Alta</t>
        </is>
      </c>
      <c r="C33" s="2" t="inlineStr">
        <is>
          <t>La Sazón de ALDE</t>
        </is>
      </c>
      <c r="D33" s="2" t="inlineStr">
        <is>
          <t>Medellín</t>
        </is>
      </c>
      <c r="E33" s="2" t="inlineStr">
        <is>
          <t>Laureles</t>
        </is>
      </c>
      <c r="F33" s="2" t="inlineStr">
        <is>
          <t>Comida casera</t>
        </is>
      </c>
      <c r="G33" s="4" t="inlineStr">
        <is>
          <t>3013894096</t>
        </is>
      </c>
      <c r="H33" s="2">
        <f>IF(G33="","Sin número",IF(LEFT(G33,1)="3","Celular","Fijo"))</f>
        <v/>
      </c>
      <c r="I33" s="5" t="inlineStr">
        <is>
          <t>Abrir chat con mensaje</t>
        </is>
      </c>
      <c r="J33" s="2" t="inlineStr">
        <is>
          <t>Av Bolivariana # 42B-16</t>
        </is>
      </c>
      <c r="K33" s="6" t="inlineStr">
        <is>
          <t>Por contactar</t>
        </is>
      </c>
      <c r="L33" s="7" t="n"/>
      <c r="M33" s="8">
        <f>IF(L33="","",L33+4)</f>
        <v/>
      </c>
      <c r="N33" s="6" t="n"/>
      <c r="O33" s="9">
        <f>IF(N33="","",INDEX(Planes!$B$4:$B$6,MATCH(N33,Planes!$A$4:$A$6,0)))</f>
        <v/>
      </c>
      <c r="P33" s="6" t="inlineStr">
        <is>
          <t>Enviar mensaje 1b</t>
        </is>
      </c>
      <c r="Q33" s="6" t="inlineStr"/>
      <c r="R33" s="2" t="inlineStr">
        <is>
          <t>Menú en línea con pedidos a WhatsApp (ola.click)</t>
        </is>
      </c>
      <c r="S33" s="5">
        <f>HYPERLINK("https://lasazondealde.ola.click/","Ver fuente")</f>
        <v/>
      </c>
    </row>
    <row r="34">
      <c r="A34" s="2" t="n">
        <v>33</v>
      </c>
      <c r="B34" s="3" t="inlineStr">
        <is>
          <t>Alta</t>
        </is>
      </c>
      <c r="C34" s="2" t="inlineStr">
        <is>
          <t>Lo Exquisito del Mar</t>
        </is>
      </c>
      <c r="D34" s="2" t="inlineStr">
        <is>
          <t>Medellín</t>
        </is>
      </c>
      <c r="E34" s="2" t="inlineStr">
        <is>
          <t>Laureles</t>
        </is>
      </c>
      <c r="F34" s="2" t="inlineStr">
        <is>
          <t>Comida de mar</t>
        </is>
      </c>
      <c r="G34" s="4" t="inlineStr">
        <is>
          <t>3194189670</t>
        </is>
      </c>
      <c r="H34" s="2">
        <f>IF(G34="","Sin número",IF(LEFT(G34,1)="3","Celular","Fijo"))</f>
        <v/>
      </c>
      <c r="I34" s="5" t="inlineStr">
        <is>
          <t>Abrir chat con mensaje</t>
        </is>
      </c>
      <c r="J34" s="2" t="inlineStr"/>
      <c r="K34" s="6" t="inlineStr">
        <is>
          <t>Por contactar</t>
        </is>
      </c>
      <c r="L34" s="7" t="n"/>
      <c r="M34" s="8">
        <f>IF(L34="","",L34+4)</f>
        <v/>
      </c>
      <c r="N34" s="6" t="n"/>
      <c r="O34" s="9">
        <f>IF(N34="","",INDEX(Planes!$B$4:$B$6,MATCH(N34,Planes!$A$4:$A$6,0)))</f>
        <v/>
      </c>
      <c r="P34" s="6" t="inlineStr">
        <is>
          <t>Enviar mensaje 1b</t>
        </is>
      </c>
      <c r="Q34" s="6" t="inlineStr"/>
      <c r="R34" s="2" t="inlineStr">
        <is>
          <t>Domicilios por WhatsApp (guía de 2020; también 3023301037)</t>
        </is>
      </c>
      <c r="S34" s="5">
        <f>HYPERLINK("https://medellinguru.com/laureles-with-domicilio/","Ver fuente")</f>
        <v/>
      </c>
    </row>
    <row r="35">
      <c r="A35" s="2" t="n">
        <v>34</v>
      </c>
      <c r="B35" s="3" t="inlineStr">
        <is>
          <t>Alta</t>
        </is>
      </c>
      <c r="C35" s="2" t="inlineStr">
        <is>
          <t>Los Costeñitos Exprés</t>
        </is>
      </c>
      <c r="D35" s="2" t="inlineStr">
        <is>
          <t>Medellín</t>
        </is>
      </c>
      <c r="E35" s="2" t="inlineStr">
        <is>
          <t>Laureles</t>
        </is>
      </c>
      <c r="F35" s="2" t="inlineStr">
        <is>
          <t>Comida costeña</t>
        </is>
      </c>
      <c r="G35" s="4" t="inlineStr">
        <is>
          <t>3217791979</t>
        </is>
      </c>
      <c r="H35" s="2">
        <f>IF(G35="","Sin número",IF(LEFT(G35,1)="3","Celular","Fijo"))</f>
        <v/>
      </c>
      <c r="I35" s="5" t="inlineStr">
        <is>
          <t>Abrir chat con mensaje</t>
        </is>
      </c>
      <c r="J35" s="2" t="inlineStr">
        <is>
          <t>Cra 74 # 53-162</t>
        </is>
      </c>
      <c r="K35" s="6" t="inlineStr">
        <is>
          <t>Por contactar</t>
        </is>
      </c>
      <c r="L35" s="7" t="n"/>
      <c r="M35" s="8">
        <f>IF(L35="","",L35+4)</f>
        <v/>
      </c>
      <c r="N35" s="6" t="n"/>
      <c r="O35" s="9">
        <f>IF(N35="","",INDEX(Planes!$B$4:$B$6,MATCH(N35,Planes!$A$4:$A$6,0)))</f>
        <v/>
      </c>
      <c r="P35" s="6" t="inlineStr">
        <is>
          <t>Enviar mensaje 1b</t>
        </is>
      </c>
      <c r="Q35" s="6" t="inlineStr"/>
      <c r="R35" s="2" t="inlineStr">
        <is>
          <t>Menú en línea con pedidos a WhatsApp (ola.click)</t>
        </is>
      </c>
      <c r="S35" s="5">
        <f>HYPERLINK("https://los-costenitos-expres.ola.click/","Ver fuente")</f>
        <v/>
      </c>
    </row>
    <row r="36">
      <c r="A36" s="2" t="n">
        <v>35</v>
      </c>
      <c r="B36" s="3" t="inlineStr">
        <is>
          <t>Alta</t>
        </is>
      </c>
      <c r="C36" s="2" t="inlineStr">
        <is>
          <t>Lupita Cocina Peruana</t>
        </is>
      </c>
      <c r="D36" s="2" t="inlineStr">
        <is>
          <t>Medellín</t>
        </is>
      </c>
      <c r="E36" s="2" t="inlineStr">
        <is>
          <t>Centro</t>
        </is>
      </c>
      <c r="F36" s="2" t="inlineStr">
        <is>
          <t>Restaurante peruano</t>
        </is>
      </c>
      <c r="G36" s="4" t="inlineStr">
        <is>
          <t>3177178229</t>
        </is>
      </c>
      <c r="H36" s="2">
        <f>IF(G36="","Sin número",IF(LEFT(G36,1)="3","Celular","Fijo"))</f>
        <v/>
      </c>
      <c r="I36" s="5" t="inlineStr">
        <is>
          <t>Abrir chat con mensaje</t>
        </is>
      </c>
      <c r="J36" s="2" t="inlineStr">
        <is>
          <t>Cra 43 # 52-101</t>
        </is>
      </c>
      <c r="K36" s="6" t="inlineStr">
        <is>
          <t>Por contactar</t>
        </is>
      </c>
      <c r="L36" s="7" t="n"/>
      <c r="M36" s="8">
        <f>IF(L36="","",L36+4)</f>
        <v/>
      </c>
      <c r="N36" s="6" t="n"/>
      <c r="O36" s="9">
        <f>IF(N36="","",INDEX(Planes!$B$4:$B$6,MATCH(N36,Planes!$A$4:$A$6,0)))</f>
        <v/>
      </c>
      <c r="P36" s="6" t="inlineStr">
        <is>
          <t>Enviar mensaje 1b</t>
        </is>
      </c>
      <c r="Q36" s="6" t="inlineStr"/>
      <c r="R36" s="2" t="inlineStr">
        <is>
          <t>Menú en línea con pedidos a WhatsApp (ola.click)</t>
        </is>
      </c>
      <c r="S36" s="5">
        <f>HYPERLINK("https://lupita-col.ola.click/","Ver fuente")</f>
        <v/>
      </c>
    </row>
    <row r="37">
      <c r="A37" s="2" t="n">
        <v>36</v>
      </c>
      <c r="B37" s="3" t="inlineStr">
        <is>
          <t>Alta</t>
        </is>
      </c>
      <c r="C37" s="2" t="inlineStr">
        <is>
          <t>Mr. Will Restaurante</t>
        </is>
      </c>
      <c r="D37" s="2" t="inlineStr">
        <is>
          <t>Medellín</t>
        </is>
      </c>
      <c r="E37" s="2" t="inlineStr">
        <is>
          <t>Laureles</t>
        </is>
      </c>
      <c r="F37" s="2" t="inlineStr">
        <is>
          <t>Restaurante</t>
        </is>
      </c>
      <c r="G37" s="4" t="inlineStr">
        <is>
          <t>3187587404</t>
        </is>
      </c>
      <c r="H37" s="2">
        <f>IF(G37="","Sin número",IF(LEFT(G37,1)="3","Celular","Fijo"))</f>
        <v/>
      </c>
      <c r="I37" s="5" t="inlineStr">
        <is>
          <t>Abrir chat con mensaje</t>
        </is>
      </c>
      <c r="J37" s="2" t="inlineStr">
        <is>
          <t>Cra 69A # 44B-115</t>
        </is>
      </c>
      <c r="K37" s="6" t="inlineStr">
        <is>
          <t>Por contactar</t>
        </is>
      </c>
      <c r="L37" s="7" t="n"/>
      <c r="M37" s="8">
        <f>IF(L37="","",L37+4)</f>
        <v/>
      </c>
      <c r="N37" s="6" t="n"/>
      <c r="O37" s="9">
        <f>IF(N37="","",INDEX(Planes!$B$4:$B$6,MATCH(N37,Planes!$A$4:$A$6,0)))</f>
        <v/>
      </c>
      <c r="P37" s="6" t="inlineStr">
        <is>
          <t>Enviar mensaje 1b</t>
        </is>
      </c>
      <c r="Q37" s="6" t="inlineStr"/>
      <c r="R37" s="2" t="inlineStr">
        <is>
          <t>Menú en línea con pedidos a WhatsApp (ola.click)</t>
        </is>
      </c>
      <c r="S37" s="5">
        <f>HYPERLINK("https://restaurantemrwill.ola.click/","Ver fuente")</f>
        <v/>
      </c>
    </row>
    <row r="38">
      <c r="A38" s="2" t="n">
        <v>37</v>
      </c>
      <c r="B38" s="3" t="inlineStr">
        <is>
          <t>Alta</t>
        </is>
      </c>
      <c r="C38" s="2" t="inlineStr">
        <is>
          <t>Muzarella's Pizza</t>
        </is>
      </c>
      <c r="D38" s="2" t="inlineStr">
        <is>
          <t>Medellín</t>
        </is>
      </c>
      <c r="E38" s="2" t="inlineStr">
        <is>
          <t>Robledo</t>
        </is>
      </c>
      <c r="F38" s="2" t="inlineStr">
        <is>
          <t>Pizzería</t>
        </is>
      </c>
      <c r="G38" s="4" t="n"/>
      <c r="H38" s="2">
        <f>IF(G38="","Sin número",IF(LEFT(G38,1)="3","Celular","Fijo"))</f>
        <v/>
      </c>
      <c r="I38" s="5" t="n"/>
      <c r="J38" s="2" t="inlineStr">
        <is>
          <t>Villa Flora</t>
        </is>
      </c>
      <c r="K38" s="6" t="inlineStr">
        <is>
          <t>Por contactar</t>
        </is>
      </c>
      <c r="L38" s="7" t="n"/>
      <c r="M38" s="8">
        <f>IF(L38="","",L38+4)</f>
        <v/>
      </c>
      <c r="N38" s="6" t="n"/>
      <c r="O38" s="9">
        <f>IF(N38="","",INDEX(Planes!$B$4:$B$6,MATCH(N38,Planes!$A$4:$A$6,0)))</f>
        <v/>
      </c>
      <c r="P38" s="6" t="inlineStr">
        <is>
          <t>Escribir por el botón de WhatsApp de su menú en línea</t>
        </is>
      </c>
      <c r="Q38" s="6" t="inlineStr"/>
      <c r="R38" s="2" t="inlineStr">
        <is>
          <t>Menú en línea con pedidos a WhatsApp (ola.click)</t>
        </is>
      </c>
      <c r="S38" s="5">
        <f>HYPERLINK("https://muzarellas-pizza.ola.click/","Ver fuente")</f>
        <v/>
      </c>
    </row>
    <row r="39">
      <c r="A39" s="2" t="n">
        <v>38</v>
      </c>
      <c r="B39" s="3" t="inlineStr">
        <is>
          <t>Alta</t>
        </is>
      </c>
      <c r="C39" s="2" t="inlineStr">
        <is>
          <t>Parrilla Bar Nogales Barbecue</t>
        </is>
      </c>
      <c r="D39" s="2" t="inlineStr">
        <is>
          <t>Medellín</t>
        </is>
      </c>
      <c r="E39" s="2" t="inlineStr">
        <is>
          <t>Belén</t>
        </is>
      </c>
      <c r="F39" s="2" t="inlineStr">
        <is>
          <t>Parrilla</t>
        </is>
      </c>
      <c r="G39" s="4" t="inlineStr">
        <is>
          <t>3103758138</t>
        </is>
      </c>
      <c r="H39" s="2">
        <f>IF(G39="","Sin número",IF(LEFT(G39,1)="3","Celular","Fijo"))</f>
        <v/>
      </c>
      <c r="I39" s="5" t="inlineStr">
        <is>
          <t>Abrir chat con mensaje</t>
        </is>
      </c>
      <c r="J39" s="2" t="inlineStr">
        <is>
          <t>Cl 32EE # 78-109</t>
        </is>
      </c>
      <c r="K39" s="6" t="inlineStr">
        <is>
          <t>Por contactar</t>
        </is>
      </c>
      <c r="L39" s="7" t="n"/>
      <c r="M39" s="8">
        <f>IF(L39="","",L39+4)</f>
        <v/>
      </c>
      <c r="N39" s="6" t="n"/>
      <c r="O39" s="9">
        <f>IF(N39="","",INDEX(Planes!$B$4:$B$6,MATCH(N39,Planes!$A$4:$A$6,0)))</f>
        <v/>
      </c>
      <c r="P39" s="6" t="inlineStr">
        <is>
          <t>Enviar mensaje 1b</t>
        </is>
      </c>
      <c r="Q39" s="6" t="inlineStr"/>
      <c r="R39" s="2" t="inlineStr">
        <is>
          <t>Menú en línea con pedidos a WhatsApp (ola.click)</t>
        </is>
      </c>
      <c r="S39" s="5">
        <f>HYPERLINK("https://parrilla-nogales-barbecue.ola.click/","Ver fuente")</f>
        <v/>
      </c>
    </row>
    <row r="40">
      <c r="A40" s="2" t="n">
        <v>39</v>
      </c>
      <c r="B40" s="3" t="inlineStr">
        <is>
          <t>Alta</t>
        </is>
      </c>
      <c r="C40" s="2" t="inlineStr">
        <is>
          <t>Parrillas Caracas</t>
        </is>
      </c>
      <c r="D40" s="2" t="inlineStr">
        <is>
          <t>Medellín</t>
        </is>
      </c>
      <c r="E40" s="2" t="inlineStr">
        <is>
          <t>Laureles</t>
        </is>
      </c>
      <c r="F40" s="2" t="inlineStr">
        <is>
          <t>Parrilla</t>
        </is>
      </c>
      <c r="G40" s="4" t="n"/>
      <c r="H40" s="2">
        <f>IF(G40="","Sin número",IF(LEFT(G40,1)="3","Celular","Fijo"))</f>
        <v/>
      </c>
      <c r="I40" s="5" t="n"/>
      <c r="J40" s="2" t="inlineStr">
        <is>
          <t>Cra 78 # 45A-04</t>
        </is>
      </c>
      <c r="K40" s="6" t="inlineStr">
        <is>
          <t>Por contactar</t>
        </is>
      </c>
      <c r="L40" s="7" t="n"/>
      <c r="M40" s="8">
        <f>IF(L40="","",L40+4)</f>
        <v/>
      </c>
      <c r="N40" s="6" t="n"/>
      <c r="O40" s="9">
        <f>IF(N40="","",INDEX(Planes!$B$4:$B$6,MATCH(N40,Planes!$A$4:$A$6,0)))</f>
        <v/>
      </c>
      <c r="P40" s="6" t="inlineStr">
        <is>
          <t>Escribir por el botón de WhatsApp de su menú en línea</t>
        </is>
      </c>
      <c r="Q40" s="6" t="inlineStr"/>
      <c r="R40" s="2" t="inlineStr">
        <is>
          <t>Menú en línea con pedidos a WhatsApp (ola.click)</t>
        </is>
      </c>
      <c r="S40" s="5">
        <f>HYPERLINK("https://parrillas-caracas.ola.click/","Ver fuente")</f>
        <v/>
      </c>
    </row>
    <row r="41">
      <c r="A41" s="2" t="n">
        <v>40</v>
      </c>
      <c r="B41" s="3" t="inlineStr">
        <is>
          <t>Alta</t>
        </is>
      </c>
      <c r="C41" s="2" t="inlineStr">
        <is>
          <t>Pigasus</t>
        </is>
      </c>
      <c r="D41" s="2" t="inlineStr">
        <is>
          <t>Medellín</t>
        </is>
      </c>
      <c r="E41" s="2" t="inlineStr">
        <is>
          <t>Belén / Laureles</t>
        </is>
      </c>
      <c r="F41" s="2" t="inlineStr">
        <is>
          <t>Hamburguesas</t>
        </is>
      </c>
      <c r="G41" s="4" t="inlineStr">
        <is>
          <t>3162348112</t>
        </is>
      </c>
      <c r="H41" s="2">
        <f>IF(G41="","Sin número",IF(LEFT(G41,1)="3","Celular","Fijo"))</f>
        <v/>
      </c>
      <c r="I41" s="5" t="inlineStr">
        <is>
          <t>Abrir chat con mensaje</t>
        </is>
      </c>
      <c r="J41" s="2" t="inlineStr"/>
      <c r="K41" s="6" t="inlineStr">
        <is>
          <t>Por contactar</t>
        </is>
      </c>
      <c r="L41" s="7" t="n"/>
      <c r="M41" s="8">
        <f>IF(L41="","",L41+4)</f>
        <v/>
      </c>
      <c r="N41" s="6" t="n"/>
      <c r="O41" s="9">
        <f>IF(N41="","",INDEX(Planes!$B$4:$B$6,MATCH(N41,Planes!$A$4:$A$6,0)))</f>
        <v/>
      </c>
      <c r="P41" s="6" t="inlineStr">
        <is>
          <t>Enviar mensaje 1b</t>
        </is>
      </c>
      <c r="Q41" s="6" t="inlineStr"/>
      <c r="R41" s="2" t="inlineStr">
        <is>
          <t>Domicilios por WhatsApp (guía)</t>
        </is>
      </c>
      <c r="S41" s="5">
        <f>HYPERLINK("https://medellinguru.com/pigasus/","Ver fuente")</f>
        <v/>
      </c>
    </row>
    <row r="42">
      <c r="A42" s="2" t="n">
        <v>41</v>
      </c>
      <c r="B42" s="3" t="inlineStr">
        <is>
          <t>Alta</t>
        </is>
      </c>
      <c r="C42" s="2" t="inlineStr">
        <is>
          <t>PPLP Pizzas, Pastas y Lasaña</t>
        </is>
      </c>
      <c r="D42" s="2" t="inlineStr">
        <is>
          <t>Medellín</t>
        </is>
      </c>
      <c r="E42" s="2" t="inlineStr"/>
      <c r="F42" s="2" t="inlineStr">
        <is>
          <t>Pizzería</t>
        </is>
      </c>
      <c r="G42" s="4" t="n"/>
      <c r="H42" s="2">
        <f>IF(G42="","Sin número",IF(LEFT(G42,1)="3","Celular","Fijo"))</f>
        <v/>
      </c>
      <c r="I42" s="5" t="n"/>
      <c r="J42" s="2" t="inlineStr"/>
      <c r="K42" s="6" t="inlineStr">
        <is>
          <t>Por contactar</t>
        </is>
      </c>
      <c r="L42" s="7" t="n"/>
      <c r="M42" s="8">
        <f>IF(L42="","",L42+4)</f>
        <v/>
      </c>
      <c r="N42" s="6" t="n"/>
      <c r="O42" s="9">
        <f>IF(N42="","",INDEX(Planes!$B$4:$B$6,MATCH(N42,Planes!$A$4:$A$6,0)))</f>
        <v/>
      </c>
      <c r="P42" s="6" t="inlineStr">
        <is>
          <t>Escribir por el botón de WhatsApp de su menú en línea</t>
        </is>
      </c>
      <c r="Q42" s="6" t="inlineStr"/>
      <c r="R42" s="2" t="inlineStr">
        <is>
          <t>Menú en línea con pedidos a WhatsApp (ola.click)</t>
        </is>
      </c>
      <c r="S42" s="5">
        <f>HYPERLINK("https://pplp.ola.click/","Ver fuente")</f>
        <v/>
      </c>
    </row>
    <row r="43">
      <c r="A43" s="2" t="n">
        <v>42</v>
      </c>
      <c r="B43" s="3" t="inlineStr">
        <is>
          <t>Alta</t>
        </is>
      </c>
      <c r="C43" s="2" t="inlineStr">
        <is>
          <t>Puro Coco</t>
        </is>
      </c>
      <c r="D43" s="2" t="inlineStr">
        <is>
          <t>Medellín</t>
        </is>
      </c>
      <c r="E43" s="2" t="inlineStr">
        <is>
          <t>Laureles</t>
        </is>
      </c>
      <c r="F43" s="2" t="inlineStr">
        <is>
          <t>Comida de mar</t>
        </is>
      </c>
      <c r="G43" s="4" t="inlineStr">
        <is>
          <t>3002225032</t>
        </is>
      </c>
      <c r="H43" s="2">
        <f>IF(G43="","Sin número",IF(LEFT(G43,1)="3","Celular","Fijo"))</f>
        <v/>
      </c>
      <c r="I43" s="5" t="inlineStr">
        <is>
          <t>Abrir chat con mensaje</t>
        </is>
      </c>
      <c r="J43" s="2" t="inlineStr">
        <is>
          <t>Cl 44A # 77-64</t>
        </is>
      </c>
      <c r="K43" s="6" t="inlineStr">
        <is>
          <t>Por contactar</t>
        </is>
      </c>
      <c r="L43" s="7" t="n"/>
      <c r="M43" s="8">
        <f>IF(L43="","",L43+4)</f>
        <v/>
      </c>
      <c r="N43" s="6" t="n"/>
      <c r="O43" s="9">
        <f>IF(N43="","",INDEX(Planes!$B$4:$B$6,MATCH(N43,Planes!$A$4:$A$6,0)))</f>
        <v/>
      </c>
      <c r="P43" s="6" t="inlineStr">
        <is>
          <t>Enviar mensaje 1b</t>
        </is>
      </c>
      <c r="Q43" s="6" t="inlineStr"/>
      <c r="R43" s="2" t="inlineStr">
        <is>
          <t>Menú en línea con pedidos a WhatsApp (ola.click)</t>
        </is>
      </c>
      <c r="S43" s="5">
        <f>HYPERLINK("https://puro-coco.ola.click/","Ver fuente")</f>
        <v/>
      </c>
    </row>
    <row r="44">
      <c r="A44" s="2" t="n">
        <v>43</v>
      </c>
      <c r="B44" s="3" t="inlineStr">
        <is>
          <t>Alta</t>
        </is>
      </c>
      <c r="C44" s="2" t="inlineStr">
        <is>
          <t>Ricomilones Medellín</t>
        </is>
      </c>
      <c r="D44" s="2" t="inlineStr">
        <is>
          <t>Medellín</t>
        </is>
      </c>
      <c r="E44" s="2" t="inlineStr">
        <is>
          <t>Centro</t>
        </is>
      </c>
      <c r="F44" s="2" t="inlineStr">
        <is>
          <t>Comida rápida</t>
        </is>
      </c>
      <c r="G44" s="4" t="inlineStr">
        <is>
          <t>3212549016</t>
        </is>
      </c>
      <c r="H44" s="2">
        <f>IF(G44="","Sin número",IF(LEFT(G44,1)="3","Celular","Fijo"))</f>
        <v/>
      </c>
      <c r="I44" s="5" t="inlineStr">
        <is>
          <t>Abrir chat con mensaje</t>
        </is>
      </c>
      <c r="J44" s="2" t="inlineStr">
        <is>
          <t>Cra 50 # 52-2</t>
        </is>
      </c>
      <c r="K44" s="6" t="inlineStr">
        <is>
          <t>Por contactar</t>
        </is>
      </c>
      <c r="L44" s="7" t="n"/>
      <c r="M44" s="8">
        <f>IF(L44="","",L44+4)</f>
        <v/>
      </c>
      <c r="N44" s="6" t="n"/>
      <c r="O44" s="9">
        <f>IF(N44="","",INDEX(Planes!$B$4:$B$6,MATCH(N44,Planes!$A$4:$A$6,0)))</f>
        <v/>
      </c>
      <c r="P44" s="6" t="inlineStr">
        <is>
          <t>Enviar mensaje 1b</t>
        </is>
      </c>
      <c r="Q44" s="6" t="inlineStr"/>
      <c r="R44" s="2" t="inlineStr">
        <is>
          <t>Menú en línea con pedidos a WhatsApp (ola.click)</t>
        </is>
      </c>
      <c r="S44" s="5">
        <f>HYPERLINK("https://ricomilones.ola.click/","Ver fuente")</f>
        <v/>
      </c>
    </row>
    <row r="45">
      <c r="A45" s="2" t="n">
        <v>44</v>
      </c>
      <c r="B45" s="3" t="inlineStr">
        <is>
          <t>Alta</t>
        </is>
      </c>
      <c r="C45" s="2" t="inlineStr">
        <is>
          <t>Rocoto</t>
        </is>
      </c>
      <c r="D45" s="2" t="inlineStr">
        <is>
          <t>Medellín</t>
        </is>
      </c>
      <c r="E45" s="2" t="inlineStr">
        <is>
          <t>El Poblado</t>
        </is>
      </c>
      <c r="F45" s="2" t="inlineStr">
        <is>
          <t>Restaurante peruano</t>
        </is>
      </c>
      <c r="G45" s="4" t="inlineStr">
        <is>
          <t>3117841355</t>
        </is>
      </c>
      <c r="H45" s="2">
        <f>IF(G45="","Sin número",IF(LEFT(G45,1)="3","Celular","Fijo"))</f>
        <v/>
      </c>
      <c r="I45" s="5" t="inlineStr">
        <is>
          <t>Abrir chat con mensaje</t>
        </is>
      </c>
      <c r="J45" s="2" t="inlineStr">
        <is>
          <t>Cra 33 # 8A-15</t>
        </is>
      </c>
      <c r="K45" s="6" t="inlineStr">
        <is>
          <t>Por contactar</t>
        </is>
      </c>
      <c r="L45" s="7" t="n"/>
      <c r="M45" s="8">
        <f>IF(L45="","",L45+4)</f>
        <v/>
      </c>
      <c r="N45" s="6" t="n"/>
      <c r="O45" s="9">
        <f>IF(N45="","",INDEX(Planes!$B$4:$B$6,MATCH(N45,Planes!$A$4:$A$6,0)))</f>
        <v/>
      </c>
      <c r="P45" s="6" t="inlineStr">
        <is>
          <t>Enviar mensaje 1b</t>
        </is>
      </c>
      <c r="Q45" s="6" t="inlineStr"/>
      <c r="R45" s="2" t="inlineStr">
        <is>
          <t>Domicilios por WhatsApp (guía de 2020)</t>
        </is>
      </c>
      <c r="S45" s="5">
        <f>HYPERLINK("https://medellinguru.com/rocoto/","Ver fuente")</f>
        <v/>
      </c>
    </row>
    <row r="46">
      <c r="A46" s="2" t="n">
        <v>45</v>
      </c>
      <c r="B46" s="3" t="inlineStr">
        <is>
          <t>Alta</t>
        </is>
      </c>
      <c r="C46" s="2" t="inlineStr">
        <is>
          <t>Romero Cocina Artesanal</t>
        </is>
      </c>
      <c r="D46" s="2" t="inlineStr">
        <is>
          <t>Medellín</t>
        </is>
      </c>
      <c r="E46" s="2" t="inlineStr">
        <is>
          <t>Laureles</t>
        </is>
      </c>
      <c r="F46" s="2" t="inlineStr">
        <is>
          <t>Restaurante italiano</t>
        </is>
      </c>
      <c r="G46" s="4" t="inlineStr">
        <is>
          <t>3154717699</t>
        </is>
      </c>
      <c r="H46" s="2">
        <f>IF(G46="","Sin número",IF(LEFT(G46,1)="3","Celular","Fijo"))</f>
        <v/>
      </c>
      <c r="I46" s="5" t="inlineStr">
        <is>
          <t>Abrir chat con mensaje</t>
        </is>
      </c>
      <c r="J46" s="2" t="inlineStr"/>
      <c r="K46" s="6" t="inlineStr">
        <is>
          <t>Por contactar</t>
        </is>
      </c>
      <c r="L46" s="7" t="n"/>
      <c r="M46" s="8">
        <f>IF(L46="","",L46+4)</f>
        <v/>
      </c>
      <c r="N46" s="6" t="n"/>
      <c r="O46" s="9">
        <f>IF(N46="","",INDEX(Planes!$B$4:$B$6,MATCH(N46,Planes!$A$4:$A$6,0)))</f>
        <v/>
      </c>
      <c r="P46" s="6" t="inlineStr">
        <is>
          <t>Enviar mensaje 1b</t>
        </is>
      </c>
      <c r="Q46" s="6" t="inlineStr"/>
      <c r="R46" s="2" t="inlineStr">
        <is>
          <t>Domicilios por WhatsApp (guía de 2020)</t>
        </is>
      </c>
      <c r="S46" s="5">
        <f>HYPERLINK("https://medellinguru.com/laureles-with-domicilio/","Ver fuente")</f>
        <v/>
      </c>
    </row>
    <row r="47">
      <c r="A47" s="2" t="n">
        <v>46</v>
      </c>
      <c r="B47" s="3" t="inlineStr">
        <is>
          <t>Alta</t>
        </is>
      </c>
      <c r="C47" s="2" t="inlineStr">
        <is>
          <t>The Garden</t>
        </is>
      </c>
      <c r="D47" s="2" t="inlineStr">
        <is>
          <t>Medellín</t>
        </is>
      </c>
      <c r="E47" s="2" t="inlineStr">
        <is>
          <t>El Poblado</t>
        </is>
      </c>
      <c r="F47" s="2" t="inlineStr">
        <is>
          <t>Restaurante</t>
        </is>
      </c>
      <c r="G47" s="4" t="n"/>
      <c r="H47" s="2">
        <f>IF(G47="","Sin número",IF(LEFT(G47,1)="3","Celular","Fijo"))</f>
        <v/>
      </c>
      <c r="I47" s="5" t="n"/>
      <c r="J47" s="2" t="inlineStr">
        <is>
          <t>Cra 32D # 9-17</t>
        </is>
      </c>
      <c r="K47" s="6" t="inlineStr">
        <is>
          <t>Por contactar</t>
        </is>
      </c>
      <c r="L47" s="7" t="n"/>
      <c r="M47" s="8">
        <f>IF(L47="","",L47+4)</f>
        <v/>
      </c>
      <c r="N47" s="6" t="n"/>
      <c r="O47" s="9">
        <f>IF(N47="","",INDEX(Planes!$B$4:$B$6,MATCH(N47,Planes!$A$4:$A$6,0)))</f>
        <v/>
      </c>
      <c r="P47" s="6" t="inlineStr">
        <is>
          <t>Escribir por el botón de WhatsApp de su menú en línea</t>
        </is>
      </c>
      <c r="Q47" s="6" t="inlineStr"/>
      <c r="R47" s="2" t="inlineStr">
        <is>
          <t>Menú en línea con pedidos a WhatsApp (ola.click)</t>
        </is>
      </c>
      <c r="S47" s="5">
        <f>HYPERLINK("https://thegarden.ola.click/","Ver fuente")</f>
        <v/>
      </c>
    </row>
    <row r="48">
      <c r="A48" s="2" t="n">
        <v>47</v>
      </c>
      <c r="B48" s="3" t="inlineStr">
        <is>
          <t>Alta</t>
        </is>
      </c>
      <c r="C48" s="2" t="inlineStr">
        <is>
          <t>Voraz Restaurante</t>
        </is>
      </c>
      <c r="D48" s="2" t="inlineStr">
        <is>
          <t>Medellín</t>
        </is>
      </c>
      <c r="E48" s="2" t="inlineStr">
        <is>
          <t>Laureles</t>
        </is>
      </c>
      <c r="F48" s="2" t="inlineStr">
        <is>
          <t>Parrilla</t>
        </is>
      </c>
      <c r="G48" s="4" t="inlineStr">
        <is>
          <t>3162211687</t>
        </is>
      </c>
      <c r="H48" s="2">
        <f>IF(G48="","Sin número",IF(LEFT(G48,1)="3","Celular","Fijo"))</f>
        <v/>
      </c>
      <c r="I48" s="5" t="inlineStr">
        <is>
          <t>Abrir chat con mensaje</t>
        </is>
      </c>
      <c r="J48" s="2" t="inlineStr"/>
      <c r="K48" s="6" t="inlineStr">
        <is>
          <t>Por contactar</t>
        </is>
      </c>
      <c r="L48" s="7" t="n"/>
      <c r="M48" s="8">
        <f>IF(L48="","",L48+4)</f>
        <v/>
      </c>
      <c r="N48" s="6" t="n"/>
      <c r="O48" s="9">
        <f>IF(N48="","",INDEX(Planes!$B$4:$B$6,MATCH(N48,Planes!$A$4:$A$6,0)))</f>
        <v/>
      </c>
      <c r="P48" s="6" t="inlineStr">
        <is>
          <t>Enviar mensaje 1b</t>
        </is>
      </c>
      <c r="Q48" s="6" t="inlineStr"/>
      <c r="R48" s="2" t="inlineStr">
        <is>
          <t>Domicilios por WhatsApp (guía de 2020)</t>
        </is>
      </c>
      <c r="S48" s="5">
        <f>HYPERLINK("https://medellinguru.com/laureles-with-domicilio/","Ver fuente")</f>
        <v/>
      </c>
    </row>
    <row r="49">
      <c r="A49" s="2" t="n">
        <v>48</v>
      </c>
      <c r="B49" s="3" t="inlineStr">
        <is>
          <t>Alta</t>
        </is>
      </c>
      <c r="C49" s="2" t="inlineStr">
        <is>
          <t>Yony Perros</t>
        </is>
      </c>
      <c r="D49" s="2" t="inlineStr">
        <is>
          <t>Medellín</t>
        </is>
      </c>
      <c r="E49" s="2" t="inlineStr">
        <is>
          <t>Robledo</t>
        </is>
      </c>
      <c r="F49" s="2" t="inlineStr">
        <is>
          <t>Comida rápida</t>
        </is>
      </c>
      <c r="G49" s="4" t="inlineStr">
        <is>
          <t>3007541651</t>
        </is>
      </c>
      <c r="H49" s="2">
        <f>IF(G49="","Sin número",IF(LEFT(G49,1)="3","Celular","Fijo"))</f>
        <v/>
      </c>
      <c r="I49" s="5" t="inlineStr">
        <is>
          <t>Abrir chat con mensaje</t>
        </is>
      </c>
      <c r="J49" s="2" t="inlineStr">
        <is>
          <t>Cl 73 # 76A-354, Pilarica</t>
        </is>
      </c>
      <c r="K49" s="6" t="inlineStr">
        <is>
          <t>Por contactar</t>
        </is>
      </c>
      <c r="L49" s="7" t="n"/>
      <c r="M49" s="8">
        <f>IF(L49="","",L49+4)</f>
        <v/>
      </c>
      <c r="N49" s="6" t="n"/>
      <c r="O49" s="9">
        <f>IF(N49="","",INDEX(Planes!$B$4:$B$6,MATCH(N49,Planes!$A$4:$A$6,0)))</f>
        <v/>
      </c>
      <c r="P49" s="6" t="inlineStr">
        <is>
          <t>Enviar mensaje 1b</t>
        </is>
      </c>
      <c r="Q49" s="6" t="inlineStr"/>
      <c r="R49" s="2" t="inlineStr">
        <is>
          <t>Menú en línea con pedidos a WhatsApp (ola.click)</t>
        </is>
      </c>
      <c r="S49" s="5">
        <f>HYPERLINK("https://yony-perros.ola.click/","Ver fuente")</f>
        <v/>
      </c>
    </row>
    <row r="50">
      <c r="A50" s="2" t="n">
        <v>49</v>
      </c>
      <c r="B50" s="10" t="inlineStr">
        <is>
          <t>Media</t>
        </is>
      </c>
      <c r="C50" s="2" t="inlineStr">
        <is>
          <t>Alimentos Rápido y Sabroso SAS</t>
        </is>
      </c>
      <c r="D50" s="2" t="inlineStr">
        <is>
          <t>Bello</t>
        </is>
      </c>
      <c r="E50" s="2" t="inlineStr"/>
      <c r="F50" s="2" t="inlineStr">
        <is>
          <t>Comida rápida</t>
        </is>
      </c>
      <c r="G50" s="4" t="inlineStr">
        <is>
          <t>3502977864</t>
        </is>
      </c>
      <c r="H50" s="2">
        <f>IF(G50="","Sin número",IF(LEFT(G50,1)="3","Celular","Fijo"))</f>
        <v/>
      </c>
      <c r="I50" s="5" t="inlineStr">
        <is>
          <t>Abrir chat con mensaje</t>
        </is>
      </c>
      <c r="J50" s="2" t="inlineStr">
        <is>
          <t>Cl 20F # 44-40</t>
        </is>
      </c>
      <c r="K50" s="6" t="inlineStr">
        <is>
          <t>Por contactar</t>
        </is>
      </c>
      <c r="L50" s="7" t="n"/>
      <c r="M50" s="8">
        <f>IF(L50="","",L50+4)</f>
        <v/>
      </c>
      <c r="N50" s="6" t="n"/>
      <c r="O50" s="9">
        <f>IF(N50="","",INDEX(Planes!$B$4:$B$6,MATCH(N50,Planes!$A$4:$A$6,0)))</f>
        <v/>
      </c>
      <c r="P50" s="6" t="inlineStr">
        <is>
          <t>Enviar mensaje 1</t>
        </is>
      </c>
      <c r="Q50" s="6" t="inlineStr"/>
      <c r="R50" s="2" t="inlineStr">
        <is>
          <t>Sin confirmar</t>
        </is>
      </c>
      <c r="S50" s="5">
        <f>HYPERLINK("https://www.informacolombia.com/directorio-empresas/informacion-empresa/alimentos-rapido-sabroso-sas","Ver fuente")</f>
        <v/>
      </c>
    </row>
    <row r="51">
      <c r="A51" s="2" t="n">
        <v>50</v>
      </c>
      <c r="B51" s="10" t="inlineStr">
        <is>
          <t>Media</t>
        </is>
      </c>
      <c r="C51" s="2" t="inlineStr">
        <is>
          <t>Collazos Sabores y Tradición SAS</t>
        </is>
      </c>
      <c r="D51" s="2" t="inlineStr">
        <is>
          <t>Bello</t>
        </is>
      </c>
      <c r="E51" s="2" t="inlineStr"/>
      <c r="F51" s="2" t="inlineStr">
        <is>
          <t>Restaurante</t>
        </is>
      </c>
      <c r="G51" s="4" t="inlineStr">
        <is>
          <t>3106867462</t>
        </is>
      </c>
      <c r="H51" s="2">
        <f>IF(G51="","Sin número",IF(LEFT(G51,1)="3","Celular","Fijo"))</f>
        <v/>
      </c>
      <c r="I51" s="5" t="inlineStr">
        <is>
          <t>Abrir chat con mensaje</t>
        </is>
      </c>
      <c r="J51" s="2" t="inlineStr">
        <is>
          <t>Cl 52 # 47-20</t>
        </is>
      </c>
      <c r="K51" s="6" t="inlineStr">
        <is>
          <t>Por contactar</t>
        </is>
      </c>
      <c r="L51" s="7" t="n"/>
      <c r="M51" s="8">
        <f>IF(L51="","",L51+4)</f>
        <v/>
      </c>
      <c r="N51" s="6" t="n"/>
      <c r="O51" s="9">
        <f>IF(N51="","",INDEX(Planes!$B$4:$B$6,MATCH(N51,Planes!$A$4:$A$6,0)))</f>
        <v/>
      </c>
      <c r="P51" s="6" t="inlineStr">
        <is>
          <t>Enviar mensaje 1</t>
        </is>
      </c>
      <c r="Q51" s="6" t="inlineStr"/>
      <c r="R51" s="2" t="inlineStr">
        <is>
          <t>Sin confirmar</t>
        </is>
      </c>
      <c r="S51" s="5">
        <f>HYPERLINK("https://www.informacolombia.com/directorio-empresas/informacion-empresa/collazos-sabores-tradicion-sas","Ver fuente")</f>
        <v/>
      </c>
    </row>
    <row r="52">
      <c r="A52" s="2" t="n">
        <v>51</v>
      </c>
      <c r="B52" s="10" t="inlineStr">
        <is>
          <t>Media</t>
        </is>
      </c>
      <c r="C52" s="2" t="inlineStr">
        <is>
          <t>Gourmet &amp; Parrilla SAS</t>
        </is>
      </c>
      <c r="D52" s="2" t="inlineStr">
        <is>
          <t>Bello</t>
        </is>
      </c>
      <c r="E52" s="2" t="inlineStr"/>
      <c r="F52" s="2" t="inlineStr">
        <is>
          <t>Parrilla</t>
        </is>
      </c>
      <c r="G52" s="4" t="inlineStr">
        <is>
          <t>3106909696</t>
        </is>
      </c>
      <c r="H52" s="2">
        <f>IF(G52="","Sin número",IF(LEFT(G52,1)="3","Celular","Fijo"))</f>
        <v/>
      </c>
      <c r="I52" s="5" t="inlineStr">
        <is>
          <t>Abrir chat con mensaje</t>
        </is>
      </c>
      <c r="J52" s="2" t="inlineStr">
        <is>
          <t>Cra 50 # 38A-185</t>
        </is>
      </c>
      <c r="K52" s="6" t="inlineStr">
        <is>
          <t>Por contactar</t>
        </is>
      </c>
      <c r="L52" s="7" t="n"/>
      <c r="M52" s="8">
        <f>IF(L52="","",L52+4)</f>
        <v/>
      </c>
      <c r="N52" s="6" t="n"/>
      <c r="O52" s="9">
        <f>IF(N52="","",INDEX(Planes!$B$4:$B$6,MATCH(N52,Planes!$A$4:$A$6,0)))</f>
        <v/>
      </c>
      <c r="P52" s="6" t="inlineStr">
        <is>
          <t>Enviar mensaje 1</t>
        </is>
      </c>
      <c r="Q52" s="6" t="inlineStr"/>
      <c r="R52" s="2" t="inlineStr">
        <is>
          <t>Sin confirmar</t>
        </is>
      </c>
      <c r="S52" s="5">
        <f>HYPERLINK("https://directorio-empresas.einforma.co/informacion-empresa/gourmet-parrilla-sas","Ver fuente")</f>
        <v/>
      </c>
    </row>
    <row r="53">
      <c r="A53" s="2" t="n">
        <v>52</v>
      </c>
      <c r="B53" s="10" t="inlineStr">
        <is>
          <t>Media</t>
        </is>
      </c>
      <c r="C53" s="2" t="inlineStr">
        <is>
          <t>Inversiones Pavesave SAS</t>
        </is>
      </c>
      <c r="D53" s="2" t="inlineStr">
        <is>
          <t>Bello</t>
        </is>
      </c>
      <c r="E53" s="2" t="inlineStr"/>
      <c r="F53" s="2" t="inlineStr">
        <is>
          <t>Restaurante (expendio a la mesa)</t>
        </is>
      </c>
      <c r="G53" s="4" t="inlineStr">
        <is>
          <t>3116228250</t>
        </is>
      </c>
      <c r="H53" s="2">
        <f>IF(G53="","Sin número",IF(LEFT(G53,1)="3","Celular","Fijo"))</f>
        <v/>
      </c>
      <c r="I53" s="5" t="inlineStr">
        <is>
          <t>Abrir chat con mensaje</t>
        </is>
      </c>
      <c r="J53" s="2" t="inlineStr"/>
      <c r="K53" s="6" t="inlineStr">
        <is>
          <t>Por contactar</t>
        </is>
      </c>
      <c r="L53" s="7" t="n"/>
      <c r="M53" s="8">
        <f>IF(L53="","",L53+4)</f>
        <v/>
      </c>
      <c r="N53" s="6" t="n"/>
      <c r="O53" s="9">
        <f>IF(N53="","",INDEX(Planes!$B$4:$B$6,MATCH(N53,Planes!$A$4:$A$6,0)))</f>
        <v/>
      </c>
      <c r="P53" s="6" t="inlineStr">
        <is>
          <t>Enviar mensaje 1</t>
        </is>
      </c>
      <c r="Q53" s="6" t="inlineStr"/>
      <c r="R53" s="2" t="inlineStr">
        <is>
          <t>Sin confirmar</t>
        </is>
      </c>
      <c r="S53" s="5">
        <f>HYPERLINK("https://www.informacolombia.com/directorio-empresas/actividad/5611_EXPENDIO-A-LA-MESA-DE-COMIDAS-PREPARADAS/departamento_antioquia?qPg=18","Ver fuente")</f>
        <v/>
      </c>
    </row>
    <row r="54">
      <c r="A54" s="2" t="n">
        <v>53</v>
      </c>
      <c r="B54" s="10" t="inlineStr">
        <is>
          <t>Media</t>
        </is>
      </c>
      <c r="C54" s="2" t="inlineStr">
        <is>
          <t>Inversiones PPMZ SAS</t>
        </is>
      </c>
      <c r="D54" s="2" t="inlineStr">
        <is>
          <t>Bello</t>
        </is>
      </c>
      <c r="E54" s="2" t="inlineStr"/>
      <c r="F54" s="2" t="inlineStr">
        <is>
          <t>Restaurante (expendio a la mesa)</t>
        </is>
      </c>
      <c r="G54" s="4" t="inlineStr">
        <is>
          <t>3106029755</t>
        </is>
      </c>
      <c r="H54" s="2">
        <f>IF(G54="","Sin número",IF(LEFT(G54,1)="3","Celular","Fijo"))</f>
        <v/>
      </c>
      <c r="I54" s="5" t="inlineStr">
        <is>
          <t>Abrir chat con mensaje</t>
        </is>
      </c>
      <c r="J54" s="2" t="inlineStr"/>
      <c r="K54" s="6" t="inlineStr">
        <is>
          <t>Por contactar</t>
        </is>
      </c>
      <c r="L54" s="7" t="n"/>
      <c r="M54" s="8">
        <f>IF(L54="","",L54+4)</f>
        <v/>
      </c>
      <c r="N54" s="6" t="n"/>
      <c r="O54" s="9">
        <f>IF(N54="","",INDEX(Planes!$B$4:$B$6,MATCH(N54,Planes!$A$4:$A$6,0)))</f>
        <v/>
      </c>
      <c r="P54" s="6" t="inlineStr">
        <is>
          <t>Enviar mensaje 1</t>
        </is>
      </c>
      <c r="Q54" s="6" t="inlineStr"/>
      <c r="R54" s="2" t="inlineStr">
        <is>
          <t>Sin confirmar</t>
        </is>
      </c>
      <c r="S54" s="5">
        <f>HYPERLINK("https://www.informacolombia.com/directorio-empresas/actividad/5611_EXPENDIO-A-LA-MESA-DE-COMIDAS-PREPARADAS/departamento_antioquia?qPg=18","Ver fuente")</f>
        <v/>
      </c>
    </row>
    <row r="55">
      <c r="A55" s="2" t="n">
        <v>54</v>
      </c>
      <c r="B55" s="10" t="inlineStr">
        <is>
          <t>Media</t>
        </is>
      </c>
      <c r="C55" s="2" t="inlineStr">
        <is>
          <t>Que Alitas SAS</t>
        </is>
      </c>
      <c r="D55" s="2" t="inlineStr">
        <is>
          <t>Bello</t>
        </is>
      </c>
      <c r="E55" s="2" t="inlineStr"/>
      <c r="F55" s="2" t="inlineStr">
        <is>
          <t>Comida rápida</t>
        </is>
      </c>
      <c r="G55" s="4" t="inlineStr">
        <is>
          <t>3192808612</t>
        </is>
      </c>
      <c r="H55" s="2">
        <f>IF(G55="","Sin número",IF(LEFT(G55,1)="3","Celular","Fijo"))</f>
        <v/>
      </c>
      <c r="I55" s="5" t="inlineStr">
        <is>
          <t>Abrir chat con mensaje</t>
        </is>
      </c>
      <c r="J55" s="2" t="inlineStr">
        <is>
          <t>Dg 55 # 43-150</t>
        </is>
      </c>
      <c r="K55" s="6" t="inlineStr">
        <is>
          <t>Por contactar</t>
        </is>
      </c>
      <c r="L55" s="7" t="n"/>
      <c r="M55" s="8">
        <f>IF(L55="","",L55+4)</f>
        <v/>
      </c>
      <c r="N55" s="6" t="n"/>
      <c r="O55" s="9">
        <f>IF(N55="","",INDEX(Planes!$B$4:$B$6,MATCH(N55,Planes!$A$4:$A$6,0)))</f>
        <v/>
      </c>
      <c r="P55" s="6" t="inlineStr">
        <is>
          <t>Enviar mensaje 1</t>
        </is>
      </c>
      <c r="Q55" s="6" t="inlineStr"/>
      <c r="R55" s="2" t="inlineStr">
        <is>
          <t>Sin confirmar</t>
        </is>
      </c>
      <c r="S55" s="5">
        <f>HYPERLINK("https://www.informacolombia.com/directorio-empresas/informacion-empresa/que-alitas-sas","Ver fuente")</f>
        <v/>
      </c>
    </row>
    <row r="56">
      <c r="A56" s="2" t="n">
        <v>55</v>
      </c>
      <c r="B56" s="10" t="inlineStr">
        <is>
          <t>Media</t>
        </is>
      </c>
      <c r="C56" s="2" t="inlineStr">
        <is>
          <t>San Pío Food SAS</t>
        </is>
      </c>
      <c r="D56" s="2" t="inlineStr">
        <is>
          <t>Bello</t>
        </is>
      </c>
      <c r="E56" s="2" t="inlineStr"/>
      <c r="F56" s="2" t="inlineStr">
        <is>
          <t>Comidas</t>
        </is>
      </c>
      <c r="G56" s="4" t="inlineStr">
        <is>
          <t>3103708332</t>
        </is>
      </c>
      <c r="H56" s="2">
        <f>IF(G56="","Sin número",IF(LEFT(G56,1)="3","Celular","Fijo"))</f>
        <v/>
      </c>
      <c r="I56" s="5" t="inlineStr">
        <is>
          <t>Abrir chat con mensaje</t>
        </is>
      </c>
      <c r="J56" s="2" t="inlineStr">
        <is>
          <t>Cl 24A # 55-32</t>
        </is>
      </c>
      <c r="K56" s="6" t="inlineStr">
        <is>
          <t>Por contactar</t>
        </is>
      </c>
      <c r="L56" s="7" t="n"/>
      <c r="M56" s="8">
        <f>IF(L56="","",L56+4)</f>
        <v/>
      </c>
      <c r="N56" s="6" t="n"/>
      <c r="O56" s="9">
        <f>IF(N56="","",INDEX(Planes!$B$4:$B$6,MATCH(N56,Planes!$A$4:$A$6,0)))</f>
        <v/>
      </c>
      <c r="P56" s="6" t="inlineStr">
        <is>
          <t>Enviar mensaje 1</t>
        </is>
      </c>
      <c r="Q56" s="6" t="inlineStr"/>
      <c r="R56" s="2" t="inlineStr">
        <is>
          <t>Sin confirmar</t>
        </is>
      </c>
      <c r="S56" s="5">
        <f>HYPERLINK("https://www.informacolombia.com/directorio-empresas/informacion-empresa/san-pio-food-sas","Ver fuente")</f>
        <v/>
      </c>
    </row>
    <row r="57">
      <c r="A57" s="2" t="n">
        <v>56</v>
      </c>
      <c r="B57" s="10" t="inlineStr">
        <is>
          <t>Media</t>
        </is>
      </c>
      <c r="C57" s="2" t="inlineStr">
        <is>
          <t>Vikingo Pollo</t>
        </is>
      </c>
      <c r="D57" s="2" t="inlineStr">
        <is>
          <t>Bello</t>
        </is>
      </c>
      <c r="E57" s="2" t="inlineStr"/>
      <c r="F57" s="2" t="inlineStr">
        <is>
          <t>Asadero</t>
        </is>
      </c>
      <c r="G57" s="4" t="inlineStr">
        <is>
          <t>3116282314</t>
        </is>
      </c>
      <c r="H57" s="2">
        <f>IF(G57="","Sin número",IF(LEFT(G57,1)="3","Celular","Fijo"))</f>
        <v/>
      </c>
      <c r="I57" s="5" t="inlineStr">
        <is>
          <t>Abrir chat con mensaje</t>
        </is>
      </c>
      <c r="J57" s="2" t="inlineStr"/>
      <c r="K57" s="6" t="inlineStr">
        <is>
          <t>Por contactar</t>
        </is>
      </c>
      <c r="L57" s="7" t="n"/>
      <c r="M57" s="8">
        <f>IF(L57="","",L57+4)</f>
        <v/>
      </c>
      <c r="N57" s="6" t="n"/>
      <c r="O57" s="9">
        <f>IF(N57="","",INDEX(Planes!$B$4:$B$6,MATCH(N57,Planes!$A$4:$A$6,0)))</f>
        <v/>
      </c>
      <c r="P57" s="6" t="inlineStr">
        <is>
          <t>Enviar mensaje 1</t>
        </is>
      </c>
      <c r="Q57" s="6" t="inlineStr"/>
      <c r="R57" s="2" t="inlineStr">
        <is>
          <t>Sin confirmar</t>
        </is>
      </c>
      <c r="S57" s="5">
        <f>HYPERLINK("https://www.informacolombia.com/directorio-empresas/actividad/560_ACTIVIDADES-DE-SERVICIOS-DE-COMIDAS-Y-BEBIDAS/localidad_bello?qPg=2","Ver fuente")</f>
        <v/>
      </c>
    </row>
    <row r="58">
      <c r="A58" s="2" t="n">
        <v>57</v>
      </c>
      <c r="B58" s="10" t="inlineStr">
        <is>
          <t>Media</t>
        </is>
      </c>
      <c r="C58" s="2" t="inlineStr">
        <is>
          <t>Ama Restaurante Vegano</t>
        </is>
      </c>
      <c r="D58" s="2" t="inlineStr">
        <is>
          <t>Medellín</t>
        </is>
      </c>
      <c r="E58" s="2" t="inlineStr">
        <is>
          <t>El Poblado</t>
        </is>
      </c>
      <c r="F58" s="2" t="inlineStr">
        <is>
          <t>Restaurante vegano</t>
        </is>
      </c>
      <c r="G58" s="4" t="inlineStr">
        <is>
          <t>3042622923</t>
        </is>
      </c>
      <c r="H58" s="2">
        <f>IF(G58="","Sin número",IF(LEFT(G58,1)="3","Celular","Fijo"))</f>
        <v/>
      </c>
      <c r="I58" s="5" t="inlineStr">
        <is>
          <t>Abrir chat con mensaje</t>
        </is>
      </c>
      <c r="J58" s="2" t="inlineStr">
        <is>
          <t>Cl 12 # 43B-2</t>
        </is>
      </c>
      <c r="K58" s="6" t="inlineStr">
        <is>
          <t>Por contactar</t>
        </is>
      </c>
      <c r="L58" s="7" t="n"/>
      <c r="M58" s="8">
        <f>IF(L58="","",L58+4)</f>
        <v/>
      </c>
      <c r="N58" s="6" t="n"/>
      <c r="O58" s="9">
        <f>IF(N58="","",INDEX(Planes!$B$4:$B$6,MATCH(N58,Planes!$A$4:$A$6,0)))</f>
        <v/>
      </c>
      <c r="P58" s="6" t="inlineStr">
        <is>
          <t>Enviar mensaje 1b</t>
        </is>
      </c>
      <c r="Q58" s="6" t="inlineStr"/>
      <c r="R58" s="2" t="inlineStr">
        <is>
          <t>Menú en línea con pedidos a WhatsApp (ola.click)</t>
        </is>
      </c>
      <c r="S58" s="5">
        <f>HYPERLINK("https://ama-restaurante-y-mercado-vegano.ola.click/","Ver fuente")</f>
        <v/>
      </c>
    </row>
    <row r="59">
      <c r="A59" s="2" t="n">
        <v>58</v>
      </c>
      <c r="B59" s="10" t="inlineStr">
        <is>
          <t>Media</t>
        </is>
      </c>
      <c r="C59" s="2" t="inlineStr">
        <is>
          <t>Arepas Las Chachas SAS</t>
        </is>
      </c>
      <c r="D59" s="2" t="inlineStr">
        <is>
          <t>Medellín</t>
        </is>
      </c>
      <c r="E59" s="2" t="inlineStr"/>
      <c r="F59" s="2" t="inlineStr">
        <is>
          <t>Arepería</t>
        </is>
      </c>
      <c r="G59" s="4" t="inlineStr">
        <is>
          <t>3197098156</t>
        </is>
      </c>
      <c r="H59" s="2">
        <f>IF(G59="","Sin número",IF(LEFT(G59,1)="3","Celular","Fijo"))</f>
        <v/>
      </c>
      <c r="I59" s="5" t="inlineStr">
        <is>
          <t>Abrir chat con mensaje</t>
        </is>
      </c>
      <c r="J59" s="2" t="inlineStr">
        <is>
          <t>Cra 82A # 30-51</t>
        </is>
      </c>
      <c r="K59" s="6" t="inlineStr">
        <is>
          <t>Por contactar</t>
        </is>
      </c>
      <c r="L59" s="7" t="n"/>
      <c r="M59" s="8">
        <f>IF(L59="","",L59+4)</f>
        <v/>
      </c>
      <c r="N59" s="6" t="n"/>
      <c r="O59" s="9">
        <f>IF(N59="","",INDEX(Planes!$B$4:$B$6,MATCH(N59,Planes!$A$4:$A$6,0)))</f>
        <v/>
      </c>
      <c r="P59" s="6" t="inlineStr">
        <is>
          <t>Enviar mensaje 1</t>
        </is>
      </c>
      <c r="Q59" s="6" t="inlineStr"/>
      <c r="R59" s="2" t="inlineStr">
        <is>
          <t>Sin confirmar</t>
        </is>
      </c>
      <c r="S59" s="5">
        <f>HYPERLINK("https://directorio-empresas.einforma.co/informacion-empresa/arepas-chachas-sas","Ver fuente")</f>
        <v/>
      </c>
    </row>
    <row r="60">
      <c r="A60" s="2" t="n">
        <v>59</v>
      </c>
      <c r="B60" s="10" t="inlineStr">
        <is>
          <t>Media</t>
        </is>
      </c>
      <c r="C60" s="2" t="inlineStr">
        <is>
          <t>Asados y Típicos al Carbón SAS</t>
        </is>
      </c>
      <c r="D60" s="2" t="inlineStr">
        <is>
          <t>Medellín</t>
        </is>
      </c>
      <c r="E60" s="2" t="inlineStr">
        <is>
          <t>Centro</t>
        </is>
      </c>
      <c r="F60" s="2" t="inlineStr">
        <is>
          <t>Asados</t>
        </is>
      </c>
      <c r="G60" s="4" t="inlineStr">
        <is>
          <t>3234561811</t>
        </is>
      </c>
      <c r="H60" s="2">
        <f>IF(G60="","Sin número",IF(LEFT(G60,1)="3","Celular","Fijo"))</f>
        <v/>
      </c>
      <c r="I60" s="5" t="inlineStr">
        <is>
          <t>Abrir chat con mensaje</t>
        </is>
      </c>
      <c r="J60" s="2" t="inlineStr">
        <is>
          <t>Cra 52 # 46-68 L 327</t>
        </is>
      </c>
      <c r="K60" s="6" t="inlineStr">
        <is>
          <t>Por contactar</t>
        </is>
      </c>
      <c r="L60" s="7" t="n"/>
      <c r="M60" s="8">
        <f>IF(L60="","",L60+4)</f>
        <v/>
      </c>
      <c r="N60" s="6" t="n"/>
      <c r="O60" s="9">
        <f>IF(N60="","",INDEX(Planes!$B$4:$B$6,MATCH(N60,Planes!$A$4:$A$6,0)))</f>
        <v/>
      </c>
      <c r="P60" s="6" t="inlineStr">
        <is>
          <t>Enviar mensaje 1</t>
        </is>
      </c>
      <c r="Q60" s="6" t="inlineStr"/>
      <c r="R60" s="2" t="inlineStr">
        <is>
          <t>Sin confirmar</t>
        </is>
      </c>
      <c r="S60" s="5">
        <f>HYPERLINK("https://directorio-empresas.einforma.co/informacion-empresa/asados-tipicos-carbon-sas","Ver fuente")</f>
        <v/>
      </c>
    </row>
    <row r="61">
      <c r="A61" s="2" t="n">
        <v>60</v>
      </c>
      <c r="B61" s="10" t="inlineStr">
        <is>
          <t>Media</t>
        </is>
      </c>
      <c r="C61" s="2" t="inlineStr">
        <is>
          <t>Atlántico Peruano SAS</t>
        </is>
      </c>
      <c r="D61" s="2" t="inlineStr">
        <is>
          <t>Medellín</t>
        </is>
      </c>
      <c r="E61" s="2" t="inlineStr">
        <is>
          <t>El Poblado</t>
        </is>
      </c>
      <c r="F61" s="2" t="inlineStr">
        <is>
          <t>Restaurante peruano</t>
        </is>
      </c>
      <c r="G61" s="4" t="inlineStr">
        <is>
          <t>3104225583</t>
        </is>
      </c>
      <c r="H61" s="2">
        <f>IF(G61="","Sin número",IF(LEFT(G61,1)="3","Celular","Fijo"))</f>
        <v/>
      </c>
      <c r="I61" s="5" t="inlineStr">
        <is>
          <t>Abrir chat con mensaje</t>
        </is>
      </c>
      <c r="J61" s="2" t="inlineStr">
        <is>
          <t>Cra 33 # 7-55</t>
        </is>
      </c>
      <c r="K61" s="6" t="inlineStr">
        <is>
          <t>Por contactar</t>
        </is>
      </c>
      <c r="L61" s="7" t="n"/>
      <c r="M61" s="8">
        <f>IF(L61="","",L61+4)</f>
        <v/>
      </c>
      <c r="N61" s="6" t="n"/>
      <c r="O61" s="9">
        <f>IF(N61="","",INDEX(Planes!$B$4:$B$6,MATCH(N61,Planes!$A$4:$A$6,0)))</f>
        <v/>
      </c>
      <c r="P61" s="6" t="inlineStr">
        <is>
          <t>Enviar mensaje 1</t>
        </is>
      </c>
      <c r="Q61" s="6" t="inlineStr"/>
      <c r="R61" s="2" t="inlineStr">
        <is>
          <t>Sin confirmar</t>
        </is>
      </c>
      <c r="S61" s="5">
        <f>HYPERLINK("https://directorio-empresas.einforma.co/informacion-empresa/atlantico-peruano-sas","Ver fuente")</f>
        <v/>
      </c>
    </row>
    <row r="62">
      <c r="A62" s="2" t="n">
        <v>61</v>
      </c>
      <c r="B62" s="10" t="inlineStr">
        <is>
          <t>Media</t>
        </is>
      </c>
      <c r="C62" s="2" t="inlineStr">
        <is>
          <t>Bon Camarón Ceviche SAS</t>
        </is>
      </c>
      <c r="D62" s="2" t="inlineStr">
        <is>
          <t>Medellín</t>
        </is>
      </c>
      <c r="E62" s="2" t="inlineStr"/>
      <c r="F62" s="2" t="inlineStr">
        <is>
          <t>Cevichería</t>
        </is>
      </c>
      <c r="G62" s="4" t="inlineStr">
        <is>
          <t>3005944617</t>
        </is>
      </c>
      <c r="H62" s="2">
        <f>IF(G62="","Sin número",IF(LEFT(G62,1)="3","Celular","Fijo"))</f>
        <v/>
      </c>
      <c r="I62" s="5" t="inlineStr">
        <is>
          <t>Abrir chat con mensaje</t>
        </is>
      </c>
      <c r="J62" s="2" t="inlineStr"/>
      <c r="K62" s="6" t="inlineStr">
        <is>
          <t>Por contactar</t>
        </is>
      </c>
      <c r="L62" s="7" t="n"/>
      <c r="M62" s="8">
        <f>IF(L62="","",L62+4)</f>
        <v/>
      </c>
      <c r="N62" s="6" t="n"/>
      <c r="O62" s="9">
        <f>IF(N62="","",INDEX(Planes!$B$4:$B$6,MATCH(N62,Planes!$A$4:$A$6,0)))</f>
        <v/>
      </c>
      <c r="P62" s="6" t="inlineStr">
        <is>
          <t>Enviar mensaje 1</t>
        </is>
      </c>
      <c r="Q62" s="6" t="inlineStr"/>
      <c r="R62" s="2" t="inlineStr">
        <is>
          <t>Sin confirmar</t>
        </is>
      </c>
      <c r="S62" s="5">
        <f>HYPERLINK("https://directorio-empresas.einforma.co/informacion-empresa/atlantico-peruano-sas","Ver fuente")</f>
        <v/>
      </c>
    </row>
    <row r="63">
      <c r="A63" s="2" t="n">
        <v>62</v>
      </c>
      <c r="B63" s="10" t="inlineStr">
        <is>
          <t>Media</t>
        </is>
      </c>
      <c r="C63" s="2" t="inlineStr">
        <is>
          <t>Café Cliché</t>
        </is>
      </c>
      <c r="D63" s="2" t="inlineStr">
        <is>
          <t>Medellín</t>
        </is>
      </c>
      <c r="E63" s="2" t="inlineStr">
        <is>
          <t>Laureles</t>
        </is>
      </c>
      <c r="F63" s="2" t="inlineStr">
        <is>
          <t>Restaurante café</t>
        </is>
      </c>
      <c r="G63" s="4" t="inlineStr">
        <is>
          <t>3103684867</t>
        </is>
      </c>
      <c r="H63" s="2">
        <f>IF(G63="","Sin número",IF(LEFT(G63,1)="3","Celular","Fijo"))</f>
        <v/>
      </c>
      <c r="I63" s="5" t="inlineStr">
        <is>
          <t>Abrir chat con mensaje</t>
        </is>
      </c>
      <c r="J63" s="2" t="inlineStr"/>
      <c r="K63" s="6" t="inlineStr">
        <is>
          <t>Por contactar</t>
        </is>
      </c>
      <c r="L63" s="7" t="n"/>
      <c r="M63" s="8">
        <f>IF(L63="","",L63+4)</f>
        <v/>
      </c>
      <c r="N63" s="6" t="n"/>
      <c r="O63" s="9">
        <f>IF(N63="","",INDEX(Planes!$B$4:$B$6,MATCH(N63,Planes!$A$4:$A$6,0)))</f>
        <v/>
      </c>
      <c r="P63" s="6" t="inlineStr">
        <is>
          <t>Enviar mensaje 1b</t>
        </is>
      </c>
      <c r="Q63" s="6" t="inlineStr"/>
      <c r="R63" s="2" t="inlineStr">
        <is>
          <t>Domicilios por WhatsApp (guía de 2020)</t>
        </is>
      </c>
      <c r="S63" s="5">
        <f>HYPERLINK("https://medellinguru.com/laureles-with-domicilio/","Ver fuente")</f>
        <v/>
      </c>
    </row>
    <row r="64">
      <c r="A64" s="2" t="n">
        <v>63</v>
      </c>
      <c r="B64" s="10" t="inlineStr">
        <is>
          <t>Media</t>
        </is>
      </c>
      <c r="C64" s="2" t="inlineStr">
        <is>
          <t>Chapati Halal SAS</t>
        </is>
      </c>
      <c r="D64" s="2" t="inlineStr">
        <is>
          <t>Medellín</t>
        </is>
      </c>
      <c r="E64" s="2" t="inlineStr">
        <is>
          <t>El Poblado</t>
        </is>
      </c>
      <c r="F64" s="2" t="inlineStr">
        <is>
          <t>Restaurante</t>
        </is>
      </c>
      <c r="G64" s="4" t="inlineStr">
        <is>
          <t>3045686852</t>
        </is>
      </c>
      <c r="H64" s="2">
        <f>IF(G64="","Sin número",IF(LEFT(G64,1)="3","Celular","Fijo"))</f>
        <v/>
      </c>
      <c r="I64" s="5" t="inlineStr">
        <is>
          <t>Abrir chat con mensaje</t>
        </is>
      </c>
      <c r="J64" s="2" t="inlineStr">
        <is>
          <t>Cra 48 # 7-298</t>
        </is>
      </c>
      <c r="K64" s="6" t="inlineStr">
        <is>
          <t>Por contactar</t>
        </is>
      </c>
      <c r="L64" s="7" t="n"/>
      <c r="M64" s="8">
        <f>IF(L64="","",L64+4)</f>
        <v/>
      </c>
      <c r="N64" s="6" t="n"/>
      <c r="O64" s="9">
        <f>IF(N64="","",INDEX(Planes!$B$4:$B$6,MATCH(N64,Planes!$A$4:$A$6,0)))</f>
        <v/>
      </c>
      <c r="P64" s="6" t="inlineStr">
        <is>
          <t>Enviar mensaje 1</t>
        </is>
      </c>
      <c r="Q64" s="6" t="inlineStr"/>
      <c r="R64" s="2" t="inlineStr">
        <is>
          <t>Sin confirmar</t>
        </is>
      </c>
      <c r="S64" s="5">
        <f>HYPERLINK("https://directorio-empresas.einforma.co/informacion-empresa/chapati-halal-sas","Ver fuente")</f>
        <v/>
      </c>
    </row>
    <row r="65">
      <c r="A65" s="2" t="n">
        <v>64</v>
      </c>
      <c r="B65" s="10" t="inlineStr">
        <is>
          <t>Media</t>
        </is>
      </c>
      <c r="C65" s="2" t="inlineStr">
        <is>
          <t>Delivery and Delicius Sushi SAS</t>
        </is>
      </c>
      <c r="D65" s="2" t="inlineStr">
        <is>
          <t>Medellín</t>
        </is>
      </c>
      <c r="E65" s="2" t="inlineStr">
        <is>
          <t>El Poblado</t>
        </is>
      </c>
      <c r="F65" s="2" t="inlineStr">
        <is>
          <t>Sushi a domicilio</t>
        </is>
      </c>
      <c r="G65" s="4" t="inlineStr">
        <is>
          <t>3112962649</t>
        </is>
      </c>
      <c r="H65" s="2">
        <f>IF(G65="","Sin número",IF(LEFT(G65,1)="3","Celular","Fijo"))</f>
        <v/>
      </c>
      <c r="I65" s="5" t="inlineStr">
        <is>
          <t>Abrir chat con mensaje</t>
        </is>
      </c>
      <c r="J65" s="2" t="inlineStr">
        <is>
          <t>Cl 9A # 38-26</t>
        </is>
      </c>
      <c r="K65" s="6" t="inlineStr">
        <is>
          <t>Por contactar</t>
        </is>
      </c>
      <c r="L65" s="7" t="n"/>
      <c r="M65" s="8">
        <f>IF(L65="","",L65+4)</f>
        <v/>
      </c>
      <c r="N65" s="6" t="n"/>
      <c r="O65" s="9">
        <f>IF(N65="","",INDEX(Planes!$B$4:$B$6,MATCH(N65,Planes!$A$4:$A$6,0)))</f>
        <v/>
      </c>
      <c r="P65" s="6" t="inlineStr">
        <is>
          <t>Enviar mensaje 1</t>
        </is>
      </c>
      <c r="Q65" s="6" t="inlineStr"/>
      <c r="R65" s="2" t="inlineStr">
        <is>
          <t>Sin confirmar</t>
        </is>
      </c>
      <c r="S65" s="5">
        <f>HYPERLINK("https://www.informacolombia.com/directorio-empresas/informacion-empresa/roll-company-sas","Ver fuente")</f>
        <v/>
      </c>
    </row>
    <row r="66">
      <c r="A66" s="2" t="n">
        <v>65</v>
      </c>
      <c r="B66" s="10" t="inlineStr">
        <is>
          <t>Media</t>
        </is>
      </c>
      <c r="C66" s="2" t="inlineStr">
        <is>
          <t>El Rey Parrillero Laureles SAS</t>
        </is>
      </c>
      <c r="D66" s="2" t="inlineStr">
        <is>
          <t>Medellín</t>
        </is>
      </c>
      <c r="E66" s="2" t="inlineStr">
        <is>
          <t>Laureles</t>
        </is>
      </c>
      <c r="F66" s="2" t="inlineStr">
        <is>
          <t>Parrilla</t>
        </is>
      </c>
      <c r="G66" s="4" t="inlineStr">
        <is>
          <t>3017915689</t>
        </is>
      </c>
      <c r="H66" s="2">
        <f>IF(G66="","Sin número",IF(LEFT(G66,1)="3","Celular","Fijo"))</f>
        <v/>
      </c>
      <c r="I66" s="5" t="inlineStr">
        <is>
          <t>Abrir chat con mensaje</t>
        </is>
      </c>
      <c r="J66" s="2" t="inlineStr">
        <is>
          <t>Cra 73 Circular 3 # 30</t>
        </is>
      </c>
      <c r="K66" s="6" t="inlineStr">
        <is>
          <t>Por contactar</t>
        </is>
      </c>
      <c r="L66" s="7" t="n"/>
      <c r="M66" s="8">
        <f>IF(L66="","",L66+4)</f>
        <v/>
      </c>
      <c r="N66" s="6" t="n"/>
      <c r="O66" s="9">
        <f>IF(N66="","",INDEX(Planes!$B$4:$B$6,MATCH(N66,Planes!$A$4:$A$6,0)))</f>
        <v/>
      </c>
      <c r="P66" s="6" t="inlineStr">
        <is>
          <t>Enviar mensaje 1</t>
        </is>
      </c>
      <c r="Q66" s="6" t="inlineStr"/>
      <c r="R66" s="2" t="inlineStr">
        <is>
          <t>Sin confirmar</t>
        </is>
      </c>
      <c r="S66" s="5">
        <f>HYPERLINK("https://directorio-empresas.einforma.co/informacion-empresa/rey-parrillero-laureles-sas","Ver fuente")</f>
        <v/>
      </c>
    </row>
    <row r="67">
      <c r="A67" s="2" t="n">
        <v>66</v>
      </c>
      <c r="B67" s="10" t="inlineStr">
        <is>
          <t>Media</t>
        </is>
      </c>
      <c r="C67" s="2" t="inlineStr">
        <is>
          <t>Empanadas Las Calidosas del Centro SAS</t>
        </is>
      </c>
      <c r="D67" s="2" t="inlineStr">
        <is>
          <t>Medellín</t>
        </is>
      </c>
      <c r="E67" s="2" t="inlineStr">
        <is>
          <t>Centro</t>
        </is>
      </c>
      <c r="F67" s="2" t="inlineStr">
        <is>
          <t>Comida rápida</t>
        </is>
      </c>
      <c r="G67" s="4" t="inlineStr">
        <is>
          <t>3216289188</t>
        </is>
      </c>
      <c r="H67" s="2">
        <f>IF(G67="","Sin número",IF(LEFT(G67,1)="3","Celular","Fijo"))</f>
        <v/>
      </c>
      <c r="I67" s="5" t="inlineStr">
        <is>
          <t>Abrir chat con mensaje</t>
        </is>
      </c>
      <c r="J67" s="2" t="inlineStr">
        <is>
          <t>Cl 53 # 49-23</t>
        </is>
      </c>
      <c r="K67" s="6" t="inlineStr">
        <is>
          <t>Por contactar</t>
        </is>
      </c>
      <c r="L67" s="7" t="n"/>
      <c r="M67" s="8">
        <f>IF(L67="","",L67+4)</f>
        <v/>
      </c>
      <c r="N67" s="6" t="n"/>
      <c r="O67" s="9">
        <f>IF(N67="","",INDEX(Planes!$B$4:$B$6,MATCH(N67,Planes!$A$4:$A$6,0)))</f>
        <v/>
      </c>
      <c r="P67" s="6" t="inlineStr">
        <is>
          <t>Enviar mensaje 1</t>
        </is>
      </c>
      <c r="Q67" s="6" t="inlineStr"/>
      <c r="R67" s="2" t="inlineStr">
        <is>
          <t>Sin confirmar</t>
        </is>
      </c>
      <c r="S67" s="5">
        <f>HYPERLINK("https://www.informacolombia.com/directorio-empresas/informacion-empresa/empanadas-calidosas-centro-sas","Ver fuente")</f>
        <v/>
      </c>
    </row>
    <row r="68">
      <c r="A68" s="2" t="n">
        <v>67</v>
      </c>
      <c r="B68" s="10" t="inlineStr">
        <is>
          <t>Media</t>
        </is>
      </c>
      <c r="C68" s="2" t="inlineStr">
        <is>
          <t>Hanami SAS</t>
        </is>
      </c>
      <c r="D68" s="2" t="inlineStr">
        <is>
          <t>Medellín</t>
        </is>
      </c>
      <c r="E68" s="2" t="inlineStr">
        <is>
          <t>El Poblado</t>
        </is>
      </c>
      <c r="F68" s="2" t="inlineStr">
        <is>
          <t>Restaurante</t>
        </is>
      </c>
      <c r="G68" s="4" t="inlineStr">
        <is>
          <t>3013381466</t>
        </is>
      </c>
      <c r="H68" s="2">
        <f>IF(G68="","Sin número",IF(LEFT(G68,1)="3","Celular","Fijo"))</f>
        <v/>
      </c>
      <c r="I68" s="5" t="inlineStr">
        <is>
          <t>Abrir chat con mensaje</t>
        </is>
      </c>
      <c r="J68" s="2" t="inlineStr">
        <is>
          <t>Cl 10B # 35-8</t>
        </is>
      </c>
      <c r="K68" s="6" t="inlineStr">
        <is>
          <t>Por contactar</t>
        </is>
      </c>
      <c r="L68" s="7" t="n"/>
      <c r="M68" s="8">
        <f>IF(L68="","",L68+4)</f>
        <v/>
      </c>
      <c r="N68" s="6" t="n"/>
      <c r="O68" s="9">
        <f>IF(N68="","",INDEX(Planes!$B$4:$B$6,MATCH(N68,Planes!$A$4:$A$6,0)))</f>
        <v/>
      </c>
      <c r="P68" s="6" t="inlineStr">
        <is>
          <t>Enviar mensaje 1</t>
        </is>
      </c>
      <c r="Q68" s="6" t="inlineStr"/>
      <c r="R68" s="2" t="inlineStr">
        <is>
          <t>Sin confirmar</t>
        </is>
      </c>
      <c r="S68" s="5">
        <f>HYPERLINK("https://www.informacolombia.com/directorio-empresas/informacion-empresa/hanami-sas","Ver fuente")</f>
        <v/>
      </c>
    </row>
    <row r="69">
      <c r="A69" s="2" t="n">
        <v>68</v>
      </c>
      <c r="B69" s="10" t="inlineStr">
        <is>
          <t>Media</t>
        </is>
      </c>
      <c r="C69" s="2" t="inlineStr">
        <is>
          <t>Happy Grill Cocina SAS</t>
        </is>
      </c>
      <c r="D69" s="2" t="inlineStr">
        <is>
          <t>Medellín</t>
        </is>
      </c>
      <c r="E69" s="2" t="inlineStr"/>
      <c r="F69" s="2" t="inlineStr">
        <is>
          <t>Comida rápida</t>
        </is>
      </c>
      <c r="G69" s="4" t="inlineStr">
        <is>
          <t>3004050749</t>
        </is>
      </c>
      <c r="H69" s="2">
        <f>IF(G69="","Sin número",IF(LEFT(G69,1)="3","Celular","Fijo"))</f>
        <v/>
      </c>
      <c r="I69" s="5" t="inlineStr">
        <is>
          <t>Abrir chat con mensaje</t>
        </is>
      </c>
      <c r="J69" s="2" t="inlineStr"/>
      <c r="K69" s="6" t="inlineStr">
        <is>
          <t>Por contactar</t>
        </is>
      </c>
      <c r="L69" s="7" t="n"/>
      <c r="M69" s="8">
        <f>IF(L69="","",L69+4)</f>
        <v/>
      </c>
      <c r="N69" s="6" t="n"/>
      <c r="O69" s="9">
        <f>IF(N69="","",INDEX(Planes!$B$4:$B$6,MATCH(N69,Planes!$A$4:$A$6,0)))</f>
        <v/>
      </c>
      <c r="P69" s="6" t="inlineStr">
        <is>
          <t>Enviar mensaje 1</t>
        </is>
      </c>
      <c r="Q69" s="6" t="inlineStr"/>
      <c r="R69" s="2" t="inlineStr">
        <is>
          <t>Sin confirmar</t>
        </is>
      </c>
      <c r="S69" s="5">
        <f>HYPERLINK("https://www.informacolombia.com/directorio-empresas/actividad/5619_OTROS-TIPOS-DE-EXPENDIO-DE-COMIDAS-PREPARADAS-N-C-P/localidad_medellin","Ver fuente")</f>
        <v/>
      </c>
    </row>
    <row r="70">
      <c r="A70" s="2" t="n">
        <v>69</v>
      </c>
      <c r="B70" s="10" t="inlineStr">
        <is>
          <t>Media</t>
        </is>
      </c>
      <c r="C70" s="2" t="inlineStr">
        <is>
          <t>Happy Wraps SAS</t>
        </is>
      </c>
      <c r="D70" s="2" t="inlineStr">
        <is>
          <t>Medellín</t>
        </is>
      </c>
      <c r="E70" s="2" t="inlineStr"/>
      <c r="F70" s="2" t="inlineStr">
        <is>
          <t>Comida rápida</t>
        </is>
      </c>
      <c r="G70" s="4" t="inlineStr">
        <is>
          <t>3174389371</t>
        </is>
      </c>
      <c r="H70" s="2">
        <f>IF(G70="","Sin número",IF(LEFT(G70,1)="3","Celular","Fijo"))</f>
        <v/>
      </c>
      <c r="I70" s="5" t="inlineStr">
        <is>
          <t>Abrir chat con mensaje</t>
        </is>
      </c>
      <c r="J70" s="2" t="inlineStr">
        <is>
          <t>Cra 27D # 34A Sur-91</t>
        </is>
      </c>
      <c r="K70" s="6" t="inlineStr">
        <is>
          <t>Por contactar</t>
        </is>
      </c>
      <c r="L70" s="7" t="n"/>
      <c r="M70" s="8">
        <f>IF(L70="","",L70+4)</f>
        <v/>
      </c>
      <c r="N70" s="6" t="n"/>
      <c r="O70" s="9">
        <f>IF(N70="","",INDEX(Planes!$B$4:$B$6,MATCH(N70,Planes!$A$4:$A$6,0)))</f>
        <v/>
      </c>
      <c r="P70" s="6" t="inlineStr">
        <is>
          <t>Enviar mensaje 1</t>
        </is>
      </c>
      <c r="Q70" s="6" t="inlineStr"/>
      <c r="R70" s="2" t="inlineStr">
        <is>
          <t>Sin confirmar</t>
        </is>
      </c>
      <c r="S70" s="5">
        <f>HYPERLINK("https://www.informacolombia.com/directorio-empresas/informacion-empresa/jugosa-ltda","Ver fuente")</f>
        <v/>
      </c>
    </row>
    <row r="71">
      <c r="A71" s="2" t="n">
        <v>70</v>
      </c>
      <c r="B71" s="10" t="inlineStr">
        <is>
          <t>Media</t>
        </is>
      </c>
      <c r="C71" s="2" t="inlineStr">
        <is>
          <t>Kuipers Parrilla SAS</t>
        </is>
      </c>
      <c r="D71" s="2" t="inlineStr">
        <is>
          <t>Medellín</t>
        </is>
      </c>
      <c r="E71" s="2" t="inlineStr"/>
      <c r="F71" s="2" t="inlineStr">
        <is>
          <t>Parrilla</t>
        </is>
      </c>
      <c r="G71" s="4" t="inlineStr">
        <is>
          <t>3225169897</t>
        </is>
      </c>
      <c r="H71" s="2">
        <f>IF(G71="","Sin número",IF(LEFT(G71,1)="3","Celular","Fijo"))</f>
        <v/>
      </c>
      <c r="I71" s="5" t="inlineStr">
        <is>
          <t>Abrir chat con mensaje</t>
        </is>
      </c>
      <c r="J71" s="2" t="inlineStr">
        <is>
          <t>Cl 115 # 64</t>
        </is>
      </c>
      <c r="K71" s="6" t="inlineStr">
        <is>
          <t>Por contactar</t>
        </is>
      </c>
      <c r="L71" s="7" t="n"/>
      <c r="M71" s="8">
        <f>IF(L71="","",L71+4)</f>
        <v/>
      </c>
      <c r="N71" s="6" t="n"/>
      <c r="O71" s="9">
        <f>IF(N71="","",INDEX(Planes!$B$4:$B$6,MATCH(N71,Planes!$A$4:$A$6,0)))</f>
        <v/>
      </c>
      <c r="P71" s="6" t="inlineStr">
        <is>
          <t>Enviar mensaje 1</t>
        </is>
      </c>
      <c r="Q71" s="6" t="inlineStr"/>
      <c r="R71" s="2" t="inlineStr">
        <is>
          <t>Sin confirmar</t>
        </is>
      </c>
      <c r="S71" s="5">
        <f>HYPERLINK("https://directorio-empresas.einforma.co/informacion-empresa/asados-tipicos-carbon-sas","Ver fuente")</f>
        <v/>
      </c>
    </row>
    <row r="72">
      <c r="A72" s="2" t="n">
        <v>71</v>
      </c>
      <c r="B72" s="10" t="inlineStr">
        <is>
          <t>Media</t>
        </is>
      </c>
      <c r="C72" s="2" t="inlineStr">
        <is>
          <t>La Casa del Alimento SAS</t>
        </is>
      </c>
      <c r="D72" s="2" t="inlineStr">
        <is>
          <t>Medellín</t>
        </is>
      </c>
      <c r="E72" s="2" t="inlineStr"/>
      <c r="F72" s="2" t="inlineStr">
        <is>
          <t>Restaurante</t>
        </is>
      </c>
      <c r="G72" s="4" t="inlineStr">
        <is>
          <t>3185878459</t>
        </is>
      </c>
      <c r="H72" s="2">
        <f>IF(G72="","Sin número",IF(LEFT(G72,1)="3","Celular","Fijo"))</f>
        <v/>
      </c>
      <c r="I72" s="5" t="inlineStr">
        <is>
          <t>Abrir chat con mensaje</t>
        </is>
      </c>
      <c r="J72" s="2" t="inlineStr">
        <is>
          <t>Cra 87 # 45C-17</t>
        </is>
      </c>
      <c r="K72" s="6" t="inlineStr">
        <is>
          <t>Por contactar</t>
        </is>
      </c>
      <c r="L72" s="7" t="n"/>
      <c r="M72" s="8">
        <f>IF(L72="","",L72+4)</f>
        <v/>
      </c>
      <c r="N72" s="6" t="n"/>
      <c r="O72" s="9">
        <f>IF(N72="","",INDEX(Planes!$B$4:$B$6,MATCH(N72,Planes!$A$4:$A$6,0)))</f>
        <v/>
      </c>
      <c r="P72" s="6" t="inlineStr">
        <is>
          <t>Enviar mensaje 1</t>
        </is>
      </c>
      <c r="Q72" s="6" t="inlineStr"/>
      <c r="R72" s="2" t="inlineStr">
        <is>
          <t>Sin confirmar</t>
        </is>
      </c>
      <c r="S72" s="5">
        <f>HYPERLINK("https://www.informacolombia.com/directorio-empresas/informacion-empresa/casa-alimento-sas","Ver fuente")</f>
        <v/>
      </c>
    </row>
    <row r="73">
      <c r="A73" s="2" t="n">
        <v>72</v>
      </c>
      <c r="B73" s="10" t="inlineStr">
        <is>
          <t>Media</t>
        </is>
      </c>
      <c r="C73" s="2" t="inlineStr">
        <is>
          <t>La Ribera Restaurante SAS</t>
        </is>
      </c>
      <c r="D73" s="2" t="inlineStr">
        <is>
          <t>Medellín</t>
        </is>
      </c>
      <c r="E73" s="2" t="inlineStr"/>
      <c r="F73" s="2" t="inlineStr">
        <is>
          <t>Restaurante</t>
        </is>
      </c>
      <c r="G73" s="4" t="inlineStr">
        <is>
          <t>3017379330</t>
        </is>
      </c>
      <c r="H73" s="2">
        <f>IF(G73="","Sin número",IF(LEFT(G73,1)="3","Celular","Fijo"))</f>
        <v/>
      </c>
      <c r="I73" s="5" t="inlineStr">
        <is>
          <t>Abrir chat con mensaje</t>
        </is>
      </c>
      <c r="J73" s="2" t="inlineStr"/>
      <c r="K73" s="6" t="inlineStr">
        <is>
          <t>Por contactar</t>
        </is>
      </c>
      <c r="L73" s="7" t="n"/>
      <c r="M73" s="8">
        <f>IF(L73="","",L73+4)</f>
        <v/>
      </c>
      <c r="N73" s="6" t="n"/>
      <c r="O73" s="9">
        <f>IF(N73="","",INDEX(Planes!$B$4:$B$6,MATCH(N73,Planes!$A$4:$A$6,0)))</f>
        <v/>
      </c>
      <c r="P73" s="6" t="inlineStr">
        <is>
          <t>Enviar mensaje 1</t>
        </is>
      </c>
      <c r="Q73" s="6" t="inlineStr"/>
      <c r="R73" s="2" t="inlineStr">
        <is>
          <t>Sin confirmar</t>
        </is>
      </c>
      <c r="S73" s="5">
        <f>HYPERLINK("https://directorio-empresas.einforma.co/informacion-empresa/ribera-restaurante-sas","Ver fuente")</f>
        <v/>
      </c>
    </row>
    <row r="74">
      <c r="A74" s="2" t="n">
        <v>73</v>
      </c>
      <c r="B74" s="10" t="inlineStr">
        <is>
          <t>Media</t>
        </is>
      </c>
      <c r="C74" s="2" t="inlineStr">
        <is>
          <t>Los Chamos Arepas Venezolanas y Algo Más SAS</t>
        </is>
      </c>
      <c r="D74" s="2" t="inlineStr">
        <is>
          <t>Medellín</t>
        </is>
      </c>
      <c r="E74" s="2" t="inlineStr">
        <is>
          <t>Laureles</t>
        </is>
      </c>
      <c r="F74" s="2" t="inlineStr">
        <is>
          <t>Arepería</t>
        </is>
      </c>
      <c r="G74" s="4" t="inlineStr">
        <is>
          <t>3103773771</t>
        </is>
      </c>
      <c r="H74" s="2">
        <f>IF(G74="","Sin número",IF(LEFT(G74,1)="3","Celular","Fijo"))</f>
        <v/>
      </c>
      <c r="I74" s="5" t="inlineStr">
        <is>
          <t>Abrir chat con mensaje</t>
        </is>
      </c>
      <c r="J74" s="2" t="inlineStr">
        <is>
          <t>Circular 5 # 70-30</t>
        </is>
      </c>
      <c r="K74" s="6" t="inlineStr">
        <is>
          <t>Por contactar</t>
        </is>
      </c>
      <c r="L74" s="7" t="n"/>
      <c r="M74" s="8">
        <f>IF(L74="","",L74+4)</f>
        <v/>
      </c>
      <c r="N74" s="6" t="n"/>
      <c r="O74" s="9">
        <f>IF(N74="","",INDEX(Planes!$B$4:$B$6,MATCH(N74,Planes!$A$4:$A$6,0)))</f>
        <v/>
      </c>
      <c r="P74" s="6" t="inlineStr">
        <is>
          <t>Enviar mensaje 1</t>
        </is>
      </c>
      <c r="Q74" s="6" t="inlineStr"/>
      <c r="R74" s="2" t="inlineStr">
        <is>
          <t>Sin confirmar</t>
        </is>
      </c>
      <c r="S74" s="5">
        <f>HYPERLINK("https://directorio-empresas.einforma.co/informacion-empresa/chamos-arepas-venezolanas-algo-mas-sas","Ver fuente")</f>
        <v/>
      </c>
    </row>
    <row r="75">
      <c r="A75" s="2" t="n">
        <v>74</v>
      </c>
      <c r="B75" s="10" t="inlineStr">
        <is>
          <t>Media</t>
        </is>
      </c>
      <c r="C75" s="2" t="inlineStr">
        <is>
          <t>Love Restaurant SAS</t>
        </is>
      </c>
      <c r="D75" s="2" t="inlineStr">
        <is>
          <t>Medellín</t>
        </is>
      </c>
      <c r="E75" s="2" t="inlineStr">
        <is>
          <t>Laureles</t>
        </is>
      </c>
      <c r="F75" s="2" t="inlineStr">
        <is>
          <t>Restaurante</t>
        </is>
      </c>
      <c r="G75" s="4" t="inlineStr">
        <is>
          <t>3052247450</t>
        </is>
      </c>
      <c r="H75" s="2">
        <f>IF(G75="","Sin número",IF(LEFT(G75,1)="3","Celular","Fijo"))</f>
        <v/>
      </c>
      <c r="I75" s="5" t="inlineStr">
        <is>
          <t>Abrir chat con mensaje</t>
        </is>
      </c>
      <c r="J75" s="2" t="inlineStr">
        <is>
          <t>Cl 33 # 74E-156 P 7</t>
        </is>
      </c>
      <c r="K75" s="6" t="inlineStr">
        <is>
          <t>Por contactar</t>
        </is>
      </c>
      <c r="L75" s="7" t="n"/>
      <c r="M75" s="8">
        <f>IF(L75="","",L75+4)</f>
        <v/>
      </c>
      <c r="N75" s="6" t="n"/>
      <c r="O75" s="9">
        <f>IF(N75="","",INDEX(Planes!$B$4:$B$6,MATCH(N75,Planes!$A$4:$A$6,0)))</f>
        <v/>
      </c>
      <c r="P75" s="6" t="inlineStr">
        <is>
          <t>Enviar mensaje 1</t>
        </is>
      </c>
      <c r="Q75" s="6" t="inlineStr"/>
      <c r="R75" s="2" t="inlineStr">
        <is>
          <t>Sin confirmar</t>
        </is>
      </c>
      <c r="S75" s="5">
        <f>HYPERLINK("https://www.informacolombia.com/directorio-empresas/informacion-empresa/love-restaurant-sas","Ver fuente")</f>
        <v/>
      </c>
    </row>
    <row r="76">
      <c r="A76" s="2" t="n">
        <v>75</v>
      </c>
      <c r="B76" s="10" t="inlineStr">
        <is>
          <t>Media</t>
        </is>
      </c>
      <c r="C76" s="2" t="inlineStr">
        <is>
          <t>Lu Mara Restaurante SAS</t>
        </is>
      </c>
      <c r="D76" s="2" t="inlineStr">
        <is>
          <t>Medellín</t>
        </is>
      </c>
      <c r="E76" s="2" t="inlineStr">
        <is>
          <t>Laureles</t>
        </is>
      </c>
      <c r="F76" s="2" t="inlineStr">
        <is>
          <t>Restaurante</t>
        </is>
      </c>
      <c r="G76" s="4" t="inlineStr">
        <is>
          <t>3015383860</t>
        </is>
      </c>
      <c r="H76" s="2">
        <f>IF(G76="","Sin número",IF(LEFT(G76,1)="3","Celular","Fijo"))</f>
        <v/>
      </c>
      <c r="I76" s="5" t="inlineStr">
        <is>
          <t>Abrir chat con mensaje</t>
        </is>
      </c>
      <c r="J76" s="2" t="inlineStr">
        <is>
          <t>Cl 33 # 83-02</t>
        </is>
      </c>
      <c r="K76" s="6" t="inlineStr">
        <is>
          <t>Por contactar</t>
        </is>
      </c>
      <c r="L76" s="7" t="n"/>
      <c r="M76" s="8">
        <f>IF(L76="","",L76+4)</f>
        <v/>
      </c>
      <c r="N76" s="6" t="n"/>
      <c r="O76" s="9">
        <f>IF(N76="","",INDEX(Planes!$B$4:$B$6,MATCH(N76,Planes!$A$4:$A$6,0)))</f>
        <v/>
      </c>
      <c r="P76" s="6" t="inlineStr">
        <is>
          <t>Enviar mensaje 1</t>
        </is>
      </c>
      <c r="Q76" s="6" t="inlineStr"/>
      <c r="R76" s="2" t="inlineStr">
        <is>
          <t>Sin confirmar</t>
        </is>
      </c>
      <c r="S76" s="5">
        <f>HYPERLINK("https://www.informacolombia.com/directorio-empresas/informacion-empresa/lu-mara-restaurante-sas","Ver fuente")</f>
        <v/>
      </c>
    </row>
    <row r="77">
      <c r="A77" s="2" t="n">
        <v>76</v>
      </c>
      <c r="B77" s="10" t="inlineStr">
        <is>
          <t>Media</t>
        </is>
      </c>
      <c r="C77" s="2" t="inlineStr">
        <is>
          <t>Makabro Salvaje SAS</t>
        </is>
      </c>
      <c r="D77" s="2" t="inlineStr">
        <is>
          <t>Medellín</t>
        </is>
      </c>
      <c r="E77" s="2" t="inlineStr">
        <is>
          <t>Laureles</t>
        </is>
      </c>
      <c r="F77" s="2" t="inlineStr">
        <is>
          <t>Restaurante</t>
        </is>
      </c>
      <c r="G77" s="4" t="inlineStr">
        <is>
          <t>3183121016</t>
        </is>
      </c>
      <c r="H77" s="2">
        <f>IF(G77="","Sin número",IF(LEFT(G77,1)="3","Celular","Fijo"))</f>
        <v/>
      </c>
      <c r="I77" s="5" t="inlineStr">
        <is>
          <t>Abrir chat con mensaje</t>
        </is>
      </c>
      <c r="J77" s="2" t="inlineStr">
        <is>
          <t>Cra 80 # 48B-40</t>
        </is>
      </c>
      <c r="K77" s="6" t="inlineStr">
        <is>
          <t>Por contactar</t>
        </is>
      </c>
      <c r="L77" s="7" t="n"/>
      <c r="M77" s="8">
        <f>IF(L77="","",L77+4)</f>
        <v/>
      </c>
      <c r="N77" s="6" t="n"/>
      <c r="O77" s="9">
        <f>IF(N77="","",INDEX(Planes!$B$4:$B$6,MATCH(N77,Planes!$A$4:$A$6,0)))</f>
        <v/>
      </c>
      <c r="P77" s="6" t="inlineStr">
        <is>
          <t>Enviar mensaje 1</t>
        </is>
      </c>
      <c r="Q77" s="6" t="inlineStr"/>
      <c r="R77" s="2" t="inlineStr">
        <is>
          <t>Sin confirmar</t>
        </is>
      </c>
      <c r="S77" s="5">
        <f>HYPERLINK("https://www.informacolombia.com/directorio-empresas/informacion-empresa/makabro-salvaje-sas","Ver fuente")</f>
        <v/>
      </c>
    </row>
    <row r="78">
      <c r="A78" s="2" t="n">
        <v>77</v>
      </c>
      <c r="B78" s="10" t="inlineStr">
        <is>
          <t>Media</t>
        </is>
      </c>
      <c r="C78" s="2" t="inlineStr">
        <is>
          <t>Mondongos Colombia SAS</t>
        </is>
      </c>
      <c r="D78" s="2" t="inlineStr">
        <is>
          <t>Medellín</t>
        </is>
      </c>
      <c r="E78" s="2" t="inlineStr">
        <is>
          <t>Belén</t>
        </is>
      </c>
      <c r="F78" s="2" t="inlineStr">
        <is>
          <t>Restaurante típico</t>
        </is>
      </c>
      <c r="G78" s="4" t="inlineStr">
        <is>
          <t>3106423348</t>
        </is>
      </c>
      <c r="H78" s="2">
        <f>IF(G78="","Sin número",IF(LEFT(G78,1)="3","Celular","Fijo"))</f>
        <v/>
      </c>
      <c r="I78" s="5" t="inlineStr">
        <is>
          <t>Abrir chat con mensaje</t>
        </is>
      </c>
      <c r="J78" s="2" t="inlineStr">
        <is>
          <t>Cra 70C # 3-43</t>
        </is>
      </c>
      <c r="K78" s="6" t="inlineStr">
        <is>
          <t>Por contactar</t>
        </is>
      </c>
      <c r="L78" s="7" t="n"/>
      <c r="M78" s="8">
        <f>IF(L78="","",L78+4)</f>
        <v/>
      </c>
      <c r="N78" s="6" t="n"/>
      <c r="O78" s="9">
        <f>IF(N78="","",INDEX(Planes!$B$4:$B$6,MATCH(N78,Planes!$A$4:$A$6,0)))</f>
        <v/>
      </c>
      <c r="P78" s="6" t="inlineStr">
        <is>
          <t>Enviar mensaje 1</t>
        </is>
      </c>
      <c r="Q78" s="6" t="inlineStr"/>
      <c r="R78" s="2" t="inlineStr">
        <is>
          <t>Sin confirmar</t>
        </is>
      </c>
      <c r="S78" s="5">
        <f>HYPERLINK("https://directorio-empresas.einforma.co/informacion-empresa/mondongos-colombia-sas","Ver fuente")</f>
        <v/>
      </c>
    </row>
    <row r="79">
      <c r="A79" s="2" t="n">
        <v>78</v>
      </c>
      <c r="B79" s="10" t="inlineStr">
        <is>
          <t>Media</t>
        </is>
      </c>
      <c r="C79" s="2" t="inlineStr">
        <is>
          <t>Mystic Foods SAS</t>
        </is>
      </c>
      <c r="D79" s="2" t="inlineStr">
        <is>
          <t>Medellín</t>
        </is>
      </c>
      <c r="E79" s="2" t="inlineStr">
        <is>
          <t>Laureles</t>
        </is>
      </c>
      <c r="F79" s="2" t="inlineStr">
        <is>
          <t>Restaurante</t>
        </is>
      </c>
      <c r="G79" s="4" t="inlineStr">
        <is>
          <t>3178548254</t>
        </is>
      </c>
      <c r="H79" s="2">
        <f>IF(G79="","Sin número",IF(LEFT(G79,1)="3","Celular","Fijo"))</f>
        <v/>
      </c>
      <c r="I79" s="5" t="inlineStr">
        <is>
          <t>Abrir chat con mensaje</t>
        </is>
      </c>
      <c r="J79" s="2" t="inlineStr">
        <is>
          <t>Cl 45F # 77A-61</t>
        </is>
      </c>
      <c r="K79" s="6" t="inlineStr">
        <is>
          <t>Por contactar</t>
        </is>
      </c>
      <c r="L79" s="7" t="n"/>
      <c r="M79" s="8">
        <f>IF(L79="","",L79+4)</f>
        <v/>
      </c>
      <c r="N79" s="6" t="n"/>
      <c r="O79" s="9">
        <f>IF(N79="","",INDEX(Planes!$B$4:$B$6,MATCH(N79,Planes!$A$4:$A$6,0)))</f>
        <v/>
      </c>
      <c r="P79" s="6" t="inlineStr">
        <is>
          <t>Enviar mensaje 1</t>
        </is>
      </c>
      <c r="Q79" s="6" t="inlineStr"/>
      <c r="R79" s="2" t="inlineStr">
        <is>
          <t>Sin confirmar</t>
        </is>
      </c>
      <c r="S79" s="5">
        <f>HYPERLINK("https://www.informacolombia.com/directorio-empresas/informacion-empresa/3-sibaritas-sas","Ver fuente")</f>
        <v/>
      </c>
    </row>
    <row r="80">
      <c r="A80" s="2" t="n">
        <v>79</v>
      </c>
      <c r="B80" s="10" t="inlineStr">
        <is>
          <t>Media</t>
        </is>
      </c>
      <c r="C80" s="2" t="inlineStr">
        <is>
          <t>Neo Gourmet Food SAS</t>
        </is>
      </c>
      <c r="D80" s="2" t="inlineStr">
        <is>
          <t>Medellín</t>
        </is>
      </c>
      <c r="E80" s="2" t="inlineStr"/>
      <c r="F80" s="2" t="inlineStr">
        <is>
          <t>Restaurante</t>
        </is>
      </c>
      <c r="G80" s="4" t="inlineStr">
        <is>
          <t>3137892487</t>
        </is>
      </c>
      <c r="H80" s="2">
        <f>IF(G80="","Sin número",IF(LEFT(G80,1)="3","Celular","Fijo"))</f>
        <v/>
      </c>
      <c r="I80" s="5" t="inlineStr">
        <is>
          <t>Abrir chat con mensaje</t>
        </is>
      </c>
      <c r="J80" s="2" t="inlineStr"/>
      <c r="K80" s="6" t="inlineStr">
        <is>
          <t>Por contactar</t>
        </is>
      </c>
      <c r="L80" s="7" t="n"/>
      <c r="M80" s="8">
        <f>IF(L80="","",L80+4)</f>
        <v/>
      </c>
      <c r="N80" s="6" t="n"/>
      <c r="O80" s="9">
        <f>IF(N80="","",INDEX(Planes!$B$4:$B$6,MATCH(N80,Planes!$A$4:$A$6,0)))</f>
        <v/>
      </c>
      <c r="P80" s="6" t="inlineStr">
        <is>
          <t>Enviar mensaje 1</t>
        </is>
      </c>
      <c r="Q80" s="6" t="inlineStr"/>
      <c r="R80" s="2" t="inlineStr">
        <is>
          <t>Sin confirmar</t>
        </is>
      </c>
      <c r="S80" s="5">
        <f>HYPERLINK("https://www.informacolombia.com/directorio-empresas/actividad/560_ACTIVIDADES-DE-SERVICIOS-DE-COMIDAS-Y-BEBIDAS","Ver fuente")</f>
        <v/>
      </c>
    </row>
    <row r="81">
      <c r="A81" s="2" t="n">
        <v>80</v>
      </c>
      <c r="B81" s="10" t="inlineStr">
        <is>
          <t>Media</t>
        </is>
      </c>
      <c r="C81" s="2" t="inlineStr">
        <is>
          <t>Niku Cartagena SAS</t>
        </is>
      </c>
      <c r="D81" s="2" t="inlineStr">
        <is>
          <t>Medellín</t>
        </is>
      </c>
      <c r="E81" s="2" t="inlineStr">
        <is>
          <t>El Poblado</t>
        </is>
      </c>
      <c r="F81" s="2" t="inlineStr">
        <is>
          <t>Restaurante</t>
        </is>
      </c>
      <c r="G81" s="4" t="inlineStr">
        <is>
          <t>3108338166</t>
        </is>
      </c>
      <c r="H81" s="2">
        <f>IF(G81="","Sin número",IF(LEFT(G81,1)="3","Celular","Fijo"))</f>
        <v/>
      </c>
      <c r="I81" s="5" t="inlineStr">
        <is>
          <t>Abrir chat con mensaje</t>
        </is>
      </c>
      <c r="J81" s="2" t="inlineStr">
        <is>
          <t>Cl 12 # 31-85</t>
        </is>
      </c>
      <c r="K81" s="6" t="inlineStr">
        <is>
          <t>Por contactar</t>
        </is>
      </c>
      <c r="L81" s="7" t="n"/>
      <c r="M81" s="8">
        <f>IF(L81="","",L81+4)</f>
        <v/>
      </c>
      <c r="N81" s="6" t="n"/>
      <c r="O81" s="9">
        <f>IF(N81="","",INDEX(Planes!$B$4:$B$6,MATCH(N81,Planes!$A$4:$A$6,0)))</f>
        <v/>
      </c>
      <c r="P81" s="6" t="inlineStr">
        <is>
          <t>Enviar mensaje 1</t>
        </is>
      </c>
      <c r="Q81" s="6" t="inlineStr"/>
      <c r="R81" s="2" t="inlineStr">
        <is>
          <t>Sin confirmar</t>
        </is>
      </c>
      <c r="S81" s="5">
        <f>HYPERLINK("https://directorio-empresas.einforma.co/informacion-empresa/niku-cartagena-sas","Ver fuente")</f>
        <v/>
      </c>
    </row>
    <row r="82">
      <c r="A82" s="2" t="n">
        <v>81</v>
      </c>
      <c r="B82" s="10" t="inlineStr">
        <is>
          <t>Media</t>
        </is>
      </c>
      <c r="C82" s="2" t="inlineStr">
        <is>
          <t>Office Burger Family SAS</t>
        </is>
      </c>
      <c r="D82" s="2" t="inlineStr">
        <is>
          <t>Medellín</t>
        </is>
      </c>
      <c r="E82" s="2" t="inlineStr"/>
      <c r="F82" s="2" t="inlineStr">
        <is>
          <t>Comida rápida</t>
        </is>
      </c>
      <c r="G82" s="4" t="inlineStr">
        <is>
          <t>3005942872</t>
        </is>
      </c>
      <c r="H82" s="2">
        <f>IF(G82="","Sin número",IF(LEFT(G82,1)="3","Celular","Fijo"))</f>
        <v/>
      </c>
      <c r="I82" s="5" t="inlineStr">
        <is>
          <t>Abrir chat con mensaje</t>
        </is>
      </c>
      <c r="J82" s="2" t="inlineStr">
        <is>
          <t>Cra 38 # 18-101 L 9723</t>
        </is>
      </c>
      <c r="K82" s="6" t="inlineStr">
        <is>
          <t>Por contactar</t>
        </is>
      </c>
      <c r="L82" s="7" t="n"/>
      <c r="M82" s="8">
        <f>IF(L82="","",L82+4)</f>
        <v/>
      </c>
      <c r="N82" s="6" t="n"/>
      <c r="O82" s="9">
        <f>IF(N82="","",INDEX(Planes!$B$4:$B$6,MATCH(N82,Planes!$A$4:$A$6,0)))</f>
        <v/>
      </c>
      <c r="P82" s="6" t="inlineStr">
        <is>
          <t>Enviar mensaje 1</t>
        </is>
      </c>
      <c r="Q82" s="6" t="inlineStr"/>
      <c r="R82" s="2" t="inlineStr">
        <is>
          <t>Sin confirmar</t>
        </is>
      </c>
      <c r="S82" s="5">
        <f>HYPERLINK("https://www.informacolombia.com/directorio-empresas/informacion-empresa/office-burger-family-sas","Ver fuente")</f>
        <v/>
      </c>
    </row>
    <row r="83">
      <c r="A83" s="2" t="n">
        <v>82</v>
      </c>
      <c r="B83" s="10" t="inlineStr">
        <is>
          <t>Media</t>
        </is>
      </c>
      <c r="C83" s="2" t="inlineStr">
        <is>
          <t>Ojalá Brunch</t>
        </is>
      </c>
      <c r="D83" s="2" t="inlineStr">
        <is>
          <t>Medellín</t>
        </is>
      </c>
      <c r="E83" s="2" t="inlineStr">
        <is>
          <t>El Poblado</t>
        </is>
      </c>
      <c r="F83" s="2" t="inlineStr">
        <is>
          <t>Brunch</t>
        </is>
      </c>
      <c r="G83" s="4" t="inlineStr">
        <is>
          <t>3159163874</t>
        </is>
      </c>
      <c r="H83" s="2">
        <f>IF(G83="","Sin número",IF(LEFT(G83,1)="3","Celular","Fijo"))</f>
        <v/>
      </c>
      <c r="I83" s="5" t="inlineStr">
        <is>
          <t>Abrir chat con mensaje</t>
        </is>
      </c>
      <c r="J83" s="2" t="inlineStr">
        <is>
          <t>Cra 43E # 11-46</t>
        </is>
      </c>
      <c r="K83" s="6" t="inlineStr">
        <is>
          <t>Por contactar</t>
        </is>
      </c>
      <c r="L83" s="7" t="n"/>
      <c r="M83" s="8">
        <f>IF(L83="","",L83+4)</f>
        <v/>
      </c>
      <c r="N83" s="6" t="n"/>
      <c r="O83" s="9">
        <f>IF(N83="","",INDEX(Planes!$B$4:$B$6,MATCH(N83,Planes!$A$4:$A$6,0)))</f>
        <v/>
      </c>
      <c r="P83" s="6" t="inlineStr">
        <is>
          <t>Enviar mensaje 1b</t>
        </is>
      </c>
      <c r="Q83" s="6" t="inlineStr"/>
      <c r="R83" s="2" t="inlineStr">
        <is>
          <t>Menú en línea con pedidos a WhatsApp (ola.click)</t>
        </is>
      </c>
      <c r="S83" s="5">
        <f>HYPERLINK("https://ojala-brunch-2.ola.click/","Ver fuente")</f>
        <v/>
      </c>
    </row>
    <row r="84">
      <c r="A84" s="2" t="n">
        <v>83</v>
      </c>
      <c r="B84" s="10" t="inlineStr">
        <is>
          <t>Media</t>
        </is>
      </c>
      <c r="C84" s="2" t="inlineStr">
        <is>
          <t>Oni Medellín SAS</t>
        </is>
      </c>
      <c r="D84" s="2" t="inlineStr">
        <is>
          <t>Medellín</t>
        </is>
      </c>
      <c r="E84" s="2" t="inlineStr">
        <is>
          <t>El Poblado</t>
        </is>
      </c>
      <c r="F84" s="2" t="inlineStr">
        <is>
          <t>Restaurante</t>
        </is>
      </c>
      <c r="G84" s="4" t="inlineStr">
        <is>
          <t>3246411797</t>
        </is>
      </c>
      <c r="H84" s="2">
        <f>IF(G84="","Sin número",IF(LEFT(G84,1)="3","Celular","Fijo"))</f>
        <v/>
      </c>
      <c r="I84" s="5" t="inlineStr">
        <is>
          <t>Abrir chat con mensaje</t>
        </is>
      </c>
      <c r="J84" s="2" t="inlineStr">
        <is>
          <t>Cra 35 # 10B-80 L 105</t>
        </is>
      </c>
      <c r="K84" s="6" t="inlineStr">
        <is>
          <t>Por contactar</t>
        </is>
      </c>
      <c r="L84" s="7" t="n"/>
      <c r="M84" s="8">
        <f>IF(L84="","",L84+4)</f>
        <v/>
      </c>
      <c r="N84" s="6" t="n"/>
      <c r="O84" s="9">
        <f>IF(N84="","",INDEX(Planes!$B$4:$B$6,MATCH(N84,Planes!$A$4:$A$6,0)))</f>
        <v/>
      </c>
      <c r="P84" s="6" t="inlineStr">
        <is>
          <t>Enviar mensaje 1</t>
        </is>
      </c>
      <c r="Q84" s="6" t="inlineStr"/>
      <c r="R84" s="2" t="inlineStr">
        <is>
          <t>Sin confirmar</t>
        </is>
      </c>
      <c r="S84" s="5">
        <f>HYPERLINK("https://directorio-empresas.einforma.co/informacion-empresa/oni-medellin-sas","Ver fuente")</f>
        <v/>
      </c>
    </row>
    <row r="85">
      <c r="A85" s="2" t="n">
        <v>84</v>
      </c>
      <c r="B85" s="10" t="inlineStr">
        <is>
          <t>Media</t>
        </is>
      </c>
      <c r="C85" s="2" t="inlineStr">
        <is>
          <t>Operamos Restaurantes SAS</t>
        </is>
      </c>
      <c r="D85" s="2" t="inlineStr">
        <is>
          <t>Medellín</t>
        </is>
      </c>
      <c r="E85" s="2" t="inlineStr"/>
      <c r="F85" s="2" t="inlineStr">
        <is>
          <t>Restaurante</t>
        </is>
      </c>
      <c r="G85" s="4" t="inlineStr">
        <is>
          <t>3202342421</t>
        </is>
      </c>
      <c r="H85" s="2">
        <f>IF(G85="","Sin número",IF(LEFT(G85,1)="3","Celular","Fijo"))</f>
        <v/>
      </c>
      <c r="I85" s="5" t="inlineStr">
        <is>
          <t>Abrir chat con mensaje</t>
        </is>
      </c>
      <c r="J85" s="2" t="inlineStr">
        <is>
          <t>Cra 35 # 29-02 Int 101</t>
        </is>
      </c>
      <c r="K85" s="6" t="inlineStr">
        <is>
          <t>Por contactar</t>
        </is>
      </c>
      <c r="L85" s="7" t="n"/>
      <c r="M85" s="8">
        <f>IF(L85="","",L85+4)</f>
        <v/>
      </c>
      <c r="N85" s="6" t="n"/>
      <c r="O85" s="9">
        <f>IF(N85="","",INDEX(Planes!$B$4:$B$6,MATCH(N85,Planes!$A$4:$A$6,0)))</f>
        <v/>
      </c>
      <c r="P85" s="6" t="inlineStr">
        <is>
          <t>Enviar mensaje 1</t>
        </is>
      </c>
      <c r="Q85" s="6" t="inlineStr"/>
      <c r="R85" s="2" t="inlineStr">
        <is>
          <t>Sin confirmar</t>
        </is>
      </c>
      <c r="S85" s="5">
        <f>HYPERLINK("https://www.informacolombia.com/directorio-empresas/informacion-empresa/operamos-restaurantes-sas","Ver fuente")</f>
        <v/>
      </c>
    </row>
    <row r="86">
      <c r="A86" s="2" t="n">
        <v>85</v>
      </c>
      <c r="B86" s="10" t="inlineStr">
        <is>
          <t>Media</t>
        </is>
      </c>
      <c r="C86" s="2" t="inlineStr">
        <is>
          <t>Opulencia SAS</t>
        </is>
      </c>
      <c r="D86" s="2" t="inlineStr">
        <is>
          <t>Medellín</t>
        </is>
      </c>
      <c r="E86" s="2" t="inlineStr"/>
      <c r="F86" s="2" t="inlineStr">
        <is>
          <t>Restaurante</t>
        </is>
      </c>
      <c r="G86" s="4" t="inlineStr">
        <is>
          <t>3104939221</t>
        </is>
      </c>
      <c r="H86" s="2">
        <f>IF(G86="","Sin número",IF(LEFT(G86,1)="3","Celular","Fijo"))</f>
        <v/>
      </c>
      <c r="I86" s="5" t="inlineStr">
        <is>
          <t>Abrir chat con mensaje</t>
        </is>
      </c>
      <c r="J86" s="2" t="inlineStr">
        <is>
          <t>Cl 17 # 40B-185</t>
        </is>
      </c>
      <c r="K86" s="6" t="inlineStr">
        <is>
          <t>Por contactar</t>
        </is>
      </c>
      <c r="L86" s="7" t="n"/>
      <c r="M86" s="8">
        <f>IF(L86="","",L86+4)</f>
        <v/>
      </c>
      <c r="N86" s="6" t="n"/>
      <c r="O86" s="9">
        <f>IF(N86="","",INDEX(Planes!$B$4:$B$6,MATCH(N86,Planes!$A$4:$A$6,0)))</f>
        <v/>
      </c>
      <c r="P86" s="6" t="inlineStr">
        <is>
          <t>Enviar mensaje 1</t>
        </is>
      </c>
      <c r="Q86" s="6" t="inlineStr"/>
      <c r="R86" s="2" t="inlineStr">
        <is>
          <t>Sin confirmar</t>
        </is>
      </c>
      <c r="S86" s="5">
        <f>HYPERLINK("https://www.informacolombia.com/directorio-empresas/informacion-empresa/opulencia-sas","Ver fuente")</f>
        <v/>
      </c>
    </row>
    <row r="87">
      <c r="A87" s="2" t="n">
        <v>86</v>
      </c>
      <c r="B87" s="10" t="inlineStr">
        <is>
          <t>Media</t>
        </is>
      </c>
      <c r="C87" s="2" t="inlineStr">
        <is>
          <t>Osteria Local SAS</t>
        </is>
      </c>
      <c r="D87" s="2" t="inlineStr">
        <is>
          <t>Medellín</t>
        </is>
      </c>
      <c r="E87" s="2" t="inlineStr"/>
      <c r="F87" s="2" t="inlineStr">
        <is>
          <t>Restaurante italiano</t>
        </is>
      </c>
      <c r="G87" s="4" t="inlineStr">
        <is>
          <t>3183758418</t>
        </is>
      </c>
      <c r="H87" s="2">
        <f>IF(G87="","Sin número",IF(LEFT(G87,1)="3","Celular","Fijo"))</f>
        <v/>
      </c>
      <c r="I87" s="5" t="inlineStr">
        <is>
          <t>Abrir chat con mensaje</t>
        </is>
      </c>
      <c r="J87" s="2" t="inlineStr"/>
      <c r="K87" s="6" t="inlineStr">
        <is>
          <t>Por contactar</t>
        </is>
      </c>
      <c r="L87" s="7" t="n"/>
      <c r="M87" s="8">
        <f>IF(L87="","",L87+4)</f>
        <v/>
      </c>
      <c r="N87" s="6" t="n"/>
      <c r="O87" s="9">
        <f>IF(N87="","",INDEX(Planes!$B$4:$B$6,MATCH(N87,Planes!$A$4:$A$6,0)))</f>
        <v/>
      </c>
      <c r="P87" s="6" t="inlineStr">
        <is>
          <t>Enviar mensaje 1</t>
        </is>
      </c>
      <c r="Q87" s="6" t="inlineStr"/>
      <c r="R87" s="2" t="inlineStr">
        <is>
          <t>Sin confirmar</t>
        </is>
      </c>
      <c r="S87" s="5">
        <f>HYPERLINK("https://www.informacolombia.com/directorio-empresas/actividad/I_ALOJAMIENTO-Y-SERVICIOS-DE-COMIDA/localidad_medellin","Ver fuente")</f>
        <v/>
      </c>
    </row>
    <row r="88">
      <c r="A88" s="2" t="n">
        <v>87</v>
      </c>
      <c r="B88" s="10" t="inlineStr">
        <is>
          <t>Media</t>
        </is>
      </c>
      <c r="C88" s="2" t="inlineStr">
        <is>
          <t>Pizzaiolo Colombia SAS</t>
        </is>
      </c>
      <c r="D88" s="2" t="inlineStr">
        <is>
          <t>Medellín</t>
        </is>
      </c>
      <c r="E88" s="2" t="inlineStr"/>
      <c r="F88" s="2" t="inlineStr">
        <is>
          <t>Pizzería</t>
        </is>
      </c>
      <c r="G88" s="4" t="inlineStr">
        <is>
          <t>3134095152</t>
        </is>
      </c>
      <c r="H88" s="2">
        <f>IF(G88="","Sin número",IF(LEFT(G88,1)="3","Celular","Fijo"))</f>
        <v/>
      </c>
      <c r="I88" s="5" t="inlineStr">
        <is>
          <t>Abrir chat con mensaje</t>
        </is>
      </c>
      <c r="J88" s="2" t="inlineStr">
        <is>
          <t>Cra 37 # 8A-15</t>
        </is>
      </c>
      <c r="K88" s="6" t="inlineStr">
        <is>
          <t>Por contactar</t>
        </is>
      </c>
      <c r="L88" s="7" t="n"/>
      <c r="M88" s="8">
        <f>IF(L88="","",L88+4)</f>
        <v/>
      </c>
      <c r="N88" s="6" t="n"/>
      <c r="O88" s="9">
        <f>IF(N88="","",INDEX(Planes!$B$4:$B$6,MATCH(N88,Planes!$A$4:$A$6,0)))</f>
        <v/>
      </c>
      <c r="P88" s="6" t="inlineStr">
        <is>
          <t>Enviar mensaje 1</t>
        </is>
      </c>
      <c r="Q88" s="6" t="inlineStr"/>
      <c r="R88" s="2" t="inlineStr">
        <is>
          <t>Sin confirmar</t>
        </is>
      </c>
      <c r="S88" s="5">
        <f>HYPERLINK("https://www.informacolombia.com/directorio-empresas/informacion-empresa/pizzaiolo-colombia-sas","Ver fuente")</f>
        <v/>
      </c>
    </row>
    <row r="89">
      <c r="A89" s="2" t="n">
        <v>88</v>
      </c>
      <c r="B89" s="10" t="inlineStr">
        <is>
          <t>Media</t>
        </is>
      </c>
      <c r="C89" s="2" t="inlineStr">
        <is>
          <t>Pizzalas AC SAS</t>
        </is>
      </c>
      <c r="D89" s="2" t="inlineStr">
        <is>
          <t>Medellín</t>
        </is>
      </c>
      <c r="E89" s="2" t="inlineStr"/>
      <c r="F89" s="2" t="inlineStr">
        <is>
          <t>Pizzería</t>
        </is>
      </c>
      <c r="G89" s="4" t="inlineStr">
        <is>
          <t>3012108726</t>
        </is>
      </c>
      <c r="H89" s="2">
        <f>IF(G89="","Sin número",IF(LEFT(G89,1)="3","Celular","Fijo"))</f>
        <v/>
      </c>
      <c r="I89" s="5" t="inlineStr">
        <is>
          <t>Abrir chat con mensaje</t>
        </is>
      </c>
      <c r="J89" s="2" t="inlineStr">
        <is>
          <t>Cra 73 # 98-88</t>
        </is>
      </c>
      <c r="K89" s="6" t="inlineStr">
        <is>
          <t>Por contactar</t>
        </is>
      </c>
      <c r="L89" s="7" t="n"/>
      <c r="M89" s="8">
        <f>IF(L89="","",L89+4)</f>
        <v/>
      </c>
      <c r="N89" s="6" t="n"/>
      <c r="O89" s="9">
        <f>IF(N89="","",INDEX(Planes!$B$4:$B$6,MATCH(N89,Planes!$A$4:$A$6,0)))</f>
        <v/>
      </c>
      <c r="P89" s="6" t="inlineStr">
        <is>
          <t>Enviar mensaje 1</t>
        </is>
      </c>
      <c r="Q89" s="6" t="inlineStr"/>
      <c r="R89" s="2" t="inlineStr">
        <is>
          <t>Sin confirmar</t>
        </is>
      </c>
      <c r="S89" s="5">
        <f>HYPERLINK("https://directorio-empresas.einforma.co/informacion-empresa/pizzalas-ac-sas","Ver fuente")</f>
        <v/>
      </c>
    </row>
    <row r="90">
      <c r="A90" s="2" t="n">
        <v>89</v>
      </c>
      <c r="B90" s="10" t="inlineStr">
        <is>
          <t>Media</t>
        </is>
      </c>
      <c r="C90" s="2" t="inlineStr">
        <is>
          <t>Pollos a la Brasa Mario de la América La 44 SAS</t>
        </is>
      </c>
      <c r="D90" s="2" t="inlineStr">
        <is>
          <t>Medellín</t>
        </is>
      </c>
      <c r="E90" s="2" t="inlineStr">
        <is>
          <t>La América</t>
        </is>
      </c>
      <c r="F90" s="2" t="inlineStr">
        <is>
          <t>Asadero</t>
        </is>
      </c>
      <c r="G90" s="4" t="inlineStr">
        <is>
          <t>3104521433</t>
        </is>
      </c>
      <c r="H90" s="2">
        <f>IF(G90="","Sin número",IF(LEFT(G90,1)="3","Celular","Fijo"))</f>
        <v/>
      </c>
      <c r="I90" s="5" t="inlineStr">
        <is>
          <t>Abrir chat con mensaje</t>
        </is>
      </c>
      <c r="J90" s="2" t="inlineStr">
        <is>
          <t>Cl 44 # 80-185</t>
        </is>
      </c>
      <c r="K90" s="6" t="inlineStr">
        <is>
          <t>Por contactar</t>
        </is>
      </c>
      <c r="L90" s="7" t="n"/>
      <c r="M90" s="8">
        <f>IF(L90="","",L90+4)</f>
        <v/>
      </c>
      <c r="N90" s="6" t="n"/>
      <c r="O90" s="9">
        <f>IF(N90="","",INDEX(Planes!$B$4:$B$6,MATCH(N90,Planes!$A$4:$A$6,0)))</f>
        <v/>
      </c>
      <c r="P90" s="6" t="inlineStr">
        <is>
          <t>Enviar mensaje 1</t>
        </is>
      </c>
      <c r="Q90" s="6" t="inlineStr"/>
      <c r="R90" s="2" t="inlineStr">
        <is>
          <t>Sin confirmar</t>
        </is>
      </c>
      <c r="S90" s="5">
        <f>HYPERLINK("https://www.informacolombia.com/directorio-empresas/informacion-empresa/pollos-brasa-mario-america-44-sas","Ver fuente")</f>
        <v/>
      </c>
    </row>
    <row r="91">
      <c r="A91" s="2" t="n">
        <v>90</v>
      </c>
      <c r="B91" s="10" t="inlineStr">
        <is>
          <t>Media</t>
        </is>
      </c>
      <c r="C91" s="2" t="inlineStr">
        <is>
          <t>Q'hubole Restaurante Bar</t>
        </is>
      </c>
      <c r="D91" s="2" t="inlineStr">
        <is>
          <t>Medellín</t>
        </is>
      </c>
      <c r="E91" s="2" t="inlineStr">
        <is>
          <t>San Javier</t>
        </is>
      </c>
      <c r="F91" s="2" t="inlineStr">
        <is>
          <t>Restaurante bar</t>
        </is>
      </c>
      <c r="G91" s="4" t="inlineStr">
        <is>
          <t>3003657171</t>
        </is>
      </c>
      <c r="H91" s="2">
        <f>IF(G91="","Sin número",IF(LEFT(G91,1)="3","Celular","Fijo"))</f>
        <v/>
      </c>
      <c r="I91" s="5" t="inlineStr">
        <is>
          <t>Abrir chat con mensaje</t>
        </is>
      </c>
      <c r="J91" s="2" t="inlineStr">
        <is>
          <t>Cra 99 # 47A-9</t>
        </is>
      </c>
      <c r="K91" s="6" t="inlineStr">
        <is>
          <t>Por contactar</t>
        </is>
      </c>
      <c r="L91" s="7" t="n"/>
      <c r="M91" s="8">
        <f>IF(L91="","",L91+4)</f>
        <v/>
      </c>
      <c r="N91" s="6" t="n"/>
      <c r="O91" s="9">
        <f>IF(N91="","",INDEX(Planes!$B$4:$B$6,MATCH(N91,Planes!$A$4:$A$6,0)))</f>
        <v/>
      </c>
      <c r="P91" s="6" t="inlineStr">
        <is>
          <t>Enviar mensaje 1b</t>
        </is>
      </c>
      <c r="Q91" s="6" t="inlineStr"/>
      <c r="R91" s="2" t="inlineStr">
        <is>
          <t>Menú en línea con pedidos a WhatsApp (ola.click)</t>
        </is>
      </c>
      <c r="S91" s="5">
        <f>HYPERLINK("https://qhubole.ola.click/","Ver fuente")</f>
        <v/>
      </c>
    </row>
    <row r="92">
      <c r="A92" s="2" t="n">
        <v>91</v>
      </c>
      <c r="B92" s="10" t="inlineStr">
        <is>
          <t>Media</t>
        </is>
      </c>
      <c r="C92" s="2" t="inlineStr">
        <is>
          <t>Restaurante Chino Shenlong SAS</t>
        </is>
      </c>
      <c r="D92" s="2" t="inlineStr">
        <is>
          <t>Medellín</t>
        </is>
      </c>
      <c r="E92" s="2" t="inlineStr"/>
      <c r="F92" s="2" t="inlineStr">
        <is>
          <t>Restaurante chino</t>
        </is>
      </c>
      <c r="G92" s="4" t="inlineStr">
        <is>
          <t>3242312925</t>
        </is>
      </c>
      <c r="H92" s="2">
        <f>IF(G92="","Sin número",IF(LEFT(G92,1)="3","Celular","Fijo"))</f>
        <v/>
      </c>
      <c r="I92" s="5" t="inlineStr">
        <is>
          <t>Abrir chat con mensaje</t>
        </is>
      </c>
      <c r="J92" s="2" t="inlineStr">
        <is>
          <t>Cra 31A # 102B-43</t>
        </is>
      </c>
      <c r="K92" s="6" t="inlineStr">
        <is>
          <t>Por contactar</t>
        </is>
      </c>
      <c r="L92" s="7" t="n"/>
      <c r="M92" s="8">
        <f>IF(L92="","",L92+4)</f>
        <v/>
      </c>
      <c r="N92" s="6" t="n"/>
      <c r="O92" s="9">
        <f>IF(N92="","",INDEX(Planes!$B$4:$B$6,MATCH(N92,Planes!$A$4:$A$6,0)))</f>
        <v/>
      </c>
      <c r="P92" s="6" t="inlineStr">
        <is>
          <t>Enviar mensaje 1</t>
        </is>
      </c>
      <c r="Q92" s="6" t="inlineStr"/>
      <c r="R92" s="2" t="inlineStr">
        <is>
          <t>Sin confirmar</t>
        </is>
      </c>
      <c r="S92" s="5">
        <f>HYPERLINK("https://www.informacolombia.com/directorio-empresas/informacion-empresa/restaurante-chino-shenlong-sas","Ver fuente")</f>
        <v/>
      </c>
    </row>
    <row r="93">
      <c r="A93" s="2" t="n">
        <v>92</v>
      </c>
      <c r="B93" s="10" t="inlineStr">
        <is>
          <t>Media</t>
        </is>
      </c>
      <c r="C93" s="2" t="inlineStr">
        <is>
          <t>Restaurante Gran Ching Hong Yun SAS</t>
        </is>
      </c>
      <c r="D93" s="2" t="inlineStr">
        <is>
          <t>Medellín</t>
        </is>
      </c>
      <c r="E93" s="2" t="inlineStr"/>
      <c r="F93" s="2" t="inlineStr">
        <is>
          <t>Restaurante chino</t>
        </is>
      </c>
      <c r="G93" s="4" t="inlineStr">
        <is>
          <t>3117582286</t>
        </is>
      </c>
      <c r="H93" s="2">
        <f>IF(G93="","Sin número",IF(LEFT(G93,1)="3","Celular","Fijo"))</f>
        <v/>
      </c>
      <c r="I93" s="5" t="inlineStr">
        <is>
          <t>Abrir chat con mensaje</t>
        </is>
      </c>
      <c r="J93" s="2" t="inlineStr">
        <is>
          <t>Cl 37 # 88-65 Int 101</t>
        </is>
      </c>
      <c r="K93" s="6" t="inlineStr">
        <is>
          <t>Por contactar</t>
        </is>
      </c>
      <c r="L93" s="7" t="n"/>
      <c r="M93" s="8">
        <f>IF(L93="","",L93+4)</f>
        <v/>
      </c>
      <c r="N93" s="6" t="n"/>
      <c r="O93" s="9">
        <f>IF(N93="","",INDEX(Planes!$B$4:$B$6,MATCH(N93,Planes!$A$4:$A$6,0)))</f>
        <v/>
      </c>
      <c r="P93" s="6" t="inlineStr">
        <is>
          <t>Enviar mensaje 1</t>
        </is>
      </c>
      <c r="Q93" s="6" t="inlineStr"/>
      <c r="R93" s="2" t="inlineStr">
        <is>
          <t>Sin confirmar</t>
        </is>
      </c>
      <c r="S93" s="5">
        <f>HYPERLINK("https://www.informacolombia.com/directorio-empresas/informacion-empresa/restaurante-gran-ching-hong-yun-sas","Ver fuente")</f>
        <v/>
      </c>
    </row>
    <row r="94">
      <c r="A94" s="2" t="n">
        <v>93</v>
      </c>
      <c r="B94" s="10" t="inlineStr">
        <is>
          <t>Media</t>
        </is>
      </c>
      <c r="C94" s="2" t="inlineStr">
        <is>
          <t>Restaurante Las Panas SAS</t>
        </is>
      </c>
      <c r="D94" s="2" t="inlineStr">
        <is>
          <t>Medellín</t>
        </is>
      </c>
      <c r="E94" s="2" t="inlineStr">
        <is>
          <t>Guayabal</t>
        </is>
      </c>
      <c r="F94" s="2" t="inlineStr">
        <is>
          <t>Restaurante</t>
        </is>
      </c>
      <c r="G94" s="4" t="inlineStr">
        <is>
          <t>3206914312</t>
        </is>
      </c>
      <c r="H94" s="2">
        <f>IF(G94="","Sin número",IF(LEFT(G94,1)="3","Celular","Fijo"))</f>
        <v/>
      </c>
      <c r="I94" s="5" t="inlineStr">
        <is>
          <t>Abrir chat con mensaje</t>
        </is>
      </c>
      <c r="J94" s="2" t="inlineStr">
        <is>
          <t>Cra 51 # 8 Sur-18</t>
        </is>
      </c>
      <c r="K94" s="6" t="inlineStr">
        <is>
          <t>Por contactar</t>
        </is>
      </c>
      <c r="L94" s="7" t="n"/>
      <c r="M94" s="8">
        <f>IF(L94="","",L94+4)</f>
        <v/>
      </c>
      <c r="N94" s="6" t="n"/>
      <c r="O94" s="9">
        <f>IF(N94="","",INDEX(Planes!$B$4:$B$6,MATCH(N94,Planes!$A$4:$A$6,0)))</f>
        <v/>
      </c>
      <c r="P94" s="6" t="inlineStr">
        <is>
          <t>Enviar mensaje 1</t>
        </is>
      </c>
      <c r="Q94" s="6" t="inlineStr"/>
      <c r="R94" s="2" t="inlineStr">
        <is>
          <t>Sin confirmar</t>
        </is>
      </c>
      <c r="S94" s="5">
        <f>HYPERLINK("https://www.informacolombia.com/directorio-empresas/informacion-empresa/restaurante-panas-sas","Ver fuente")</f>
        <v/>
      </c>
    </row>
    <row r="95">
      <c r="A95" s="2" t="n">
        <v>94</v>
      </c>
      <c r="B95" s="10" t="inlineStr">
        <is>
          <t>Media</t>
        </is>
      </c>
      <c r="C95" s="2" t="inlineStr">
        <is>
          <t>Saludpan</t>
        </is>
      </c>
      <c r="D95" s="2" t="inlineStr">
        <is>
          <t>Medellín</t>
        </is>
      </c>
      <c r="E95" s="2" t="inlineStr">
        <is>
          <t>Laureles</t>
        </is>
      </c>
      <c r="F95" s="2" t="inlineStr">
        <is>
          <t>Restaurante vegetariano</t>
        </is>
      </c>
      <c r="G95" s="4" t="inlineStr">
        <is>
          <t>3104281548</t>
        </is>
      </c>
      <c r="H95" s="2">
        <f>IF(G95="","Sin número",IF(LEFT(G95,1)="3","Celular","Fijo"))</f>
        <v/>
      </c>
      <c r="I95" s="5" t="inlineStr">
        <is>
          <t>Abrir chat con mensaje</t>
        </is>
      </c>
      <c r="J95" s="2" t="inlineStr"/>
      <c r="K95" s="6" t="inlineStr">
        <is>
          <t>Por contactar</t>
        </is>
      </c>
      <c r="L95" s="7" t="n"/>
      <c r="M95" s="8">
        <f>IF(L95="","",L95+4)</f>
        <v/>
      </c>
      <c r="N95" s="6" t="n"/>
      <c r="O95" s="9">
        <f>IF(N95="","",INDEX(Planes!$B$4:$B$6,MATCH(N95,Planes!$A$4:$A$6,0)))</f>
        <v/>
      </c>
      <c r="P95" s="6" t="inlineStr">
        <is>
          <t>Enviar mensaje 1b</t>
        </is>
      </c>
      <c r="Q95" s="6" t="inlineStr"/>
      <c r="R95" s="2" t="inlineStr">
        <is>
          <t>Domicilios por WhatsApp (guía de 2020)</t>
        </is>
      </c>
      <c r="S95" s="5">
        <f>HYPERLINK("https://medellinguru.com/laureles-with-domicilio/","Ver fuente")</f>
        <v/>
      </c>
    </row>
    <row r="96">
      <c r="A96" s="2" t="n">
        <v>95</v>
      </c>
      <c r="B96" s="10" t="inlineStr">
        <is>
          <t>Media</t>
        </is>
      </c>
      <c r="C96" s="2" t="inlineStr">
        <is>
          <t>Taco House Mexican Grill SAS</t>
        </is>
      </c>
      <c r="D96" s="2" t="inlineStr">
        <is>
          <t>Medellín</t>
        </is>
      </c>
      <c r="E96" s="2" t="inlineStr">
        <is>
          <t>El Poblado</t>
        </is>
      </c>
      <c r="F96" s="2" t="inlineStr">
        <is>
          <t>Restaurante mexicano</t>
        </is>
      </c>
      <c r="G96" s="4" t="inlineStr">
        <is>
          <t>3114246481</t>
        </is>
      </c>
      <c r="H96" s="2">
        <f>IF(G96="","Sin número",IF(LEFT(G96,1)="3","Celular","Fijo"))</f>
        <v/>
      </c>
      <c r="I96" s="5" t="inlineStr">
        <is>
          <t>Abrir chat con mensaje</t>
        </is>
      </c>
      <c r="J96" s="2" t="inlineStr">
        <is>
          <t>Cra 33 # 7-127</t>
        </is>
      </c>
      <c r="K96" s="6" t="inlineStr">
        <is>
          <t>Por contactar</t>
        </is>
      </c>
      <c r="L96" s="7" t="n"/>
      <c r="M96" s="8">
        <f>IF(L96="","",L96+4)</f>
        <v/>
      </c>
      <c r="N96" s="6" t="n"/>
      <c r="O96" s="9">
        <f>IF(N96="","",INDEX(Planes!$B$4:$B$6,MATCH(N96,Planes!$A$4:$A$6,0)))</f>
        <v/>
      </c>
      <c r="P96" s="6" t="inlineStr">
        <is>
          <t>Enviar mensaje 1</t>
        </is>
      </c>
      <c r="Q96" s="6" t="inlineStr"/>
      <c r="R96" s="2" t="inlineStr">
        <is>
          <t>Sin confirmar</t>
        </is>
      </c>
      <c r="S96" s="5">
        <f>HYPERLINK("https://directorio-empresas.einforma.co/informacion-empresa/taco-house-mexican-grill-sas","Ver fuente")</f>
        <v/>
      </c>
    </row>
    <row r="97">
      <c r="A97" s="2" t="n">
        <v>96</v>
      </c>
      <c r="B97" s="10" t="inlineStr">
        <is>
          <t>Media</t>
        </is>
      </c>
      <c r="C97" s="2" t="inlineStr">
        <is>
          <t>W Fuego Burger Inversiones SAS</t>
        </is>
      </c>
      <c r="D97" s="2" t="inlineStr">
        <is>
          <t>Medellín</t>
        </is>
      </c>
      <c r="E97" s="2" t="inlineStr"/>
      <c r="F97" s="2" t="inlineStr">
        <is>
          <t>Comida rápida</t>
        </is>
      </c>
      <c r="G97" s="4" t="inlineStr">
        <is>
          <t>3204731706</t>
        </is>
      </c>
      <c r="H97" s="2">
        <f>IF(G97="","Sin número",IF(LEFT(G97,1)="3","Celular","Fijo"))</f>
        <v/>
      </c>
      <c r="I97" s="5" t="inlineStr">
        <is>
          <t>Abrir chat con mensaje</t>
        </is>
      </c>
      <c r="J97" s="2" t="inlineStr">
        <is>
          <t>Dg 29D # 9 Sur-110</t>
        </is>
      </c>
      <c r="K97" s="6" t="inlineStr">
        <is>
          <t>Por contactar</t>
        </is>
      </c>
      <c r="L97" s="7" t="n"/>
      <c r="M97" s="8">
        <f>IF(L97="","",L97+4)</f>
        <v/>
      </c>
      <c r="N97" s="6" t="n"/>
      <c r="O97" s="9">
        <f>IF(N97="","",INDEX(Planes!$B$4:$B$6,MATCH(N97,Planes!$A$4:$A$6,0)))</f>
        <v/>
      </c>
      <c r="P97" s="6" t="inlineStr">
        <is>
          <t>Enviar mensaje 1</t>
        </is>
      </c>
      <c r="Q97" s="6" t="inlineStr"/>
      <c r="R97" s="2" t="inlineStr">
        <is>
          <t>Sin confirmar</t>
        </is>
      </c>
      <c r="S97" s="5">
        <f>HYPERLINK("https://www.informacolombia.com/directorio-empresas/informacion-empresa/w-fuego-burger-inversiones-sas","Ver fuente")</f>
        <v/>
      </c>
    </row>
    <row r="98">
      <c r="A98" s="2" t="n">
        <v>97</v>
      </c>
      <c r="B98" s="10" t="inlineStr">
        <is>
          <t>Media</t>
        </is>
      </c>
      <c r="C98" s="2" t="inlineStr">
        <is>
          <t>Zacatecas</t>
        </is>
      </c>
      <c r="D98" s="2" t="inlineStr">
        <is>
          <t>Medellín</t>
        </is>
      </c>
      <c r="E98" s="2" t="inlineStr"/>
      <c r="F98" s="2" t="inlineStr">
        <is>
          <t>Comida mexicana (cadena)</t>
        </is>
      </c>
      <c r="G98" s="4" t="inlineStr">
        <is>
          <t>3108947678</t>
        </is>
      </c>
      <c r="H98" s="2">
        <f>IF(G98="","Sin número",IF(LEFT(G98,1)="3","Celular","Fijo"))</f>
        <v/>
      </c>
      <c r="I98" s="5" t="inlineStr">
        <is>
          <t>Abrir chat con mensaje</t>
        </is>
      </c>
      <c r="J98" s="2" t="inlineStr"/>
      <c r="K98" s="6" t="inlineStr">
        <is>
          <t>Por contactar</t>
        </is>
      </c>
      <c r="L98" s="7" t="n"/>
      <c r="M98" s="8">
        <f>IF(L98="","",L98+4)</f>
        <v/>
      </c>
      <c r="N98" s="6" t="n"/>
      <c r="O98" s="9">
        <f>IF(N98="","",INDEX(Planes!$B$4:$B$6,MATCH(N98,Planes!$A$4:$A$6,0)))</f>
        <v/>
      </c>
      <c r="P98" s="6" t="inlineStr">
        <is>
          <t>Enviar mensaje 1b</t>
        </is>
      </c>
      <c r="Q98" s="6" t="inlineStr"/>
      <c r="R98" s="2" t="inlineStr">
        <is>
          <t>Número de WhatsApp publicado (guía)</t>
        </is>
      </c>
      <c r="S98" s="5">
        <f>HYPERLINK("https://medellinguru.com/zacatecas/","Ver fuente")</f>
        <v/>
      </c>
    </row>
    <row r="99">
      <c r="A99" s="2" t="n">
        <v>98</v>
      </c>
      <c r="B99" s="11" t="inlineStr">
        <is>
          <t>Baja</t>
        </is>
      </c>
      <c r="C99" s="2" t="inlineStr">
        <is>
          <t>Cafe Coffee Beans</t>
        </is>
      </c>
      <c r="D99" s="2" t="inlineStr">
        <is>
          <t>Bello</t>
        </is>
      </c>
      <c r="E99" s="2" t="inlineStr"/>
      <c r="F99" s="2" t="inlineStr">
        <is>
          <t>Café</t>
        </is>
      </c>
      <c r="G99" s="4" t="inlineStr">
        <is>
          <t>3207893494</t>
        </is>
      </c>
      <c r="H99" s="2">
        <f>IF(G99="","Sin número",IF(LEFT(G99,1)="3","Celular","Fijo"))</f>
        <v/>
      </c>
      <c r="I99" s="5" t="inlineStr">
        <is>
          <t>Abrir chat con mensaje</t>
        </is>
      </c>
      <c r="J99" s="2" t="inlineStr"/>
      <c r="K99" s="6" t="inlineStr">
        <is>
          <t>Por contactar</t>
        </is>
      </c>
      <c r="L99" s="7" t="n"/>
      <c r="M99" s="8">
        <f>IF(L99="","",L99+4)</f>
        <v/>
      </c>
      <c r="N99" s="6" t="n"/>
      <c r="O99" s="9">
        <f>IF(N99="","",INDEX(Planes!$B$4:$B$6,MATCH(N99,Planes!$A$4:$A$6,0)))</f>
        <v/>
      </c>
      <c r="P99" s="6" t="inlineStr">
        <is>
          <t>Enviar mensaje 1</t>
        </is>
      </c>
      <c r="Q99" s="6" t="inlineStr"/>
      <c r="R99" s="2" t="inlineStr">
        <is>
          <t>Sin confirmar</t>
        </is>
      </c>
      <c r="S99" s="5">
        <f>HYPERLINK("https://www.informacolombia.com/directorio-empresas/actividad/560_ACTIVIDADES-DE-SERVICIOS-DE-COMIDAS-Y-BEBIDAS/localidad_bello?qPg=2","Ver fuente")</f>
        <v/>
      </c>
    </row>
    <row r="100">
      <c r="A100" s="2" t="n">
        <v>99</v>
      </c>
      <c r="B100" s="11" t="inlineStr">
        <is>
          <t>Baja</t>
        </is>
      </c>
      <c r="C100" s="2" t="inlineStr">
        <is>
          <t>Chickenresto Bar Bello</t>
        </is>
      </c>
      <c r="D100" s="2" t="inlineStr">
        <is>
          <t>Bello</t>
        </is>
      </c>
      <c r="E100" s="2" t="inlineStr"/>
      <c r="F100" s="2" t="inlineStr">
        <is>
          <t>Asadero / bar</t>
        </is>
      </c>
      <c r="G100" s="4" t="inlineStr">
        <is>
          <t>3004892646</t>
        </is>
      </c>
      <c r="H100" s="2">
        <f>IF(G100="","Sin número",IF(LEFT(G100,1)="3","Celular","Fijo"))</f>
        <v/>
      </c>
      <c r="I100" s="5" t="inlineStr">
        <is>
          <t>Abrir chat con mensaje</t>
        </is>
      </c>
      <c r="J100" s="2" t="inlineStr"/>
      <c r="K100" s="6" t="inlineStr">
        <is>
          <t>Por contactar</t>
        </is>
      </c>
      <c r="L100" s="7" t="n"/>
      <c r="M100" s="8">
        <f>IF(L100="","",L100+4)</f>
        <v/>
      </c>
      <c r="N100" s="6" t="n"/>
      <c r="O100" s="9">
        <f>IF(N100="","",INDEX(Planes!$B$4:$B$6,MATCH(N100,Planes!$A$4:$A$6,0)))</f>
        <v/>
      </c>
      <c r="P100" s="6" t="inlineStr">
        <is>
          <t>Enviar mensaje 1</t>
        </is>
      </c>
      <c r="Q100" s="6" t="inlineStr"/>
      <c r="R100" s="2" t="inlineStr">
        <is>
          <t>Sin confirmar</t>
        </is>
      </c>
      <c r="S100" s="5">
        <f>HYPERLINK("https://www.informacolombia.com/directorio-empresas/actividad/560_ACTIVIDADES-DE-SERVICIOS-DE-COMIDAS-Y-BEBIDAS/localidad_bello?qPg=2","Ver fuente")</f>
        <v/>
      </c>
    </row>
    <row r="101">
      <c r="A101" s="2" t="n">
        <v>100</v>
      </c>
      <c r="B101" s="11" t="inlineStr">
        <is>
          <t>Baja</t>
        </is>
      </c>
      <c r="C101" s="2" t="inlineStr">
        <is>
          <t>Dkche Servicios Alimenticios SAS</t>
        </is>
      </c>
      <c r="D101" s="2" t="inlineStr">
        <is>
          <t>Bello</t>
        </is>
      </c>
      <c r="E101" s="2" t="inlineStr"/>
      <c r="F101" s="2" t="inlineStr">
        <is>
          <t>Comidas preparadas</t>
        </is>
      </c>
      <c r="G101" s="4" t="inlineStr">
        <is>
          <t>3162346489</t>
        </is>
      </c>
      <c r="H101" s="2">
        <f>IF(G101="","Sin número",IF(LEFT(G101,1)="3","Celular","Fijo"))</f>
        <v/>
      </c>
      <c r="I101" s="5" t="inlineStr">
        <is>
          <t>Abrir chat con mensaje</t>
        </is>
      </c>
      <c r="J101" s="2" t="inlineStr">
        <is>
          <t>Cl 32 # 52-20</t>
        </is>
      </c>
      <c r="K101" s="6" t="inlineStr">
        <is>
          <t>Por contactar</t>
        </is>
      </c>
      <c r="L101" s="7" t="n"/>
      <c r="M101" s="8">
        <f>IF(L101="","",L101+4)</f>
        <v/>
      </c>
      <c r="N101" s="6" t="n"/>
      <c r="O101" s="9">
        <f>IF(N101="","",INDEX(Planes!$B$4:$B$6,MATCH(N101,Planes!$A$4:$A$6,0)))</f>
        <v/>
      </c>
      <c r="P101" s="6" t="inlineStr">
        <is>
          <t>Enviar mensaje 1</t>
        </is>
      </c>
      <c r="Q101" s="6" t="inlineStr"/>
      <c r="R101" s="2" t="inlineStr">
        <is>
          <t>Sin confirmar</t>
        </is>
      </c>
      <c r="S101" s="5">
        <f>HYPERLINK("https://directorio-empresas.einforma.co/informacion-empresa/dkche-servicios-alimenticios-sas","Ver fuente")</f>
        <v/>
      </c>
    </row>
    <row r="102">
      <c r="A102" s="2" t="n">
        <v>101</v>
      </c>
      <c r="B102" s="11" t="inlineStr">
        <is>
          <t>Baja</t>
        </is>
      </c>
      <c r="C102" s="2" t="inlineStr">
        <is>
          <t>Eatsy SAS</t>
        </is>
      </c>
      <c r="D102" s="2" t="inlineStr">
        <is>
          <t>Bello</t>
        </is>
      </c>
      <c r="E102" s="2" t="inlineStr"/>
      <c r="F102" s="2" t="inlineStr">
        <is>
          <t>Comidas preparadas</t>
        </is>
      </c>
      <c r="G102" s="4" t="inlineStr">
        <is>
          <t>3243643277</t>
        </is>
      </c>
      <c r="H102" s="2">
        <f>IF(G102="","Sin número",IF(LEFT(G102,1)="3","Celular","Fijo"))</f>
        <v/>
      </c>
      <c r="I102" s="5" t="inlineStr">
        <is>
          <t>Abrir chat con mensaje</t>
        </is>
      </c>
      <c r="J102" s="2" t="inlineStr">
        <is>
          <t>Dg 52 # 15A-351</t>
        </is>
      </c>
      <c r="K102" s="6" t="inlineStr">
        <is>
          <t>Por contactar</t>
        </is>
      </c>
      <c r="L102" s="7" t="n"/>
      <c r="M102" s="8">
        <f>IF(L102="","",L102+4)</f>
        <v/>
      </c>
      <c r="N102" s="6" t="n"/>
      <c r="O102" s="9">
        <f>IF(N102="","",INDEX(Planes!$B$4:$B$6,MATCH(N102,Planes!$A$4:$A$6,0)))</f>
        <v/>
      </c>
      <c r="P102" s="6" t="inlineStr">
        <is>
          <t>Enviar mensaje 1</t>
        </is>
      </c>
      <c r="Q102" s="6" t="inlineStr"/>
      <c r="R102" s="2" t="inlineStr">
        <is>
          <t>Sin confirmar</t>
        </is>
      </c>
      <c r="S102" s="5">
        <f>HYPERLINK("https://www.informacolombia.com/directorio-empresas/informacion-empresa/eatsy-sas","Ver fuente")</f>
        <v/>
      </c>
    </row>
    <row r="103">
      <c r="A103" s="2" t="n">
        <v>102</v>
      </c>
      <c r="B103" s="11" t="inlineStr">
        <is>
          <t>Baja</t>
        </is>
      </c>
      <c r="C103" s="2" t="inlineStr">
        <is>
          <t>Inversiones Nancy Restrepo SAS</t>
        </is>
      </c>
      <c r="D103" s="2" t="inlineStr">
        <is>
          <t>Bello</t>
        </is>
      </c>
      <c r="E103" s="2" t="inlineStr"/>
      <c r="F103" s="2" t="inlineStr">
        <is>
          <t>Comidas (por confirmar)</t>
        </is>
      </c>
      <c r="G103" s="4" t="inlineStr">
        <is>
          <t>6046051431</t>
        </is>
      </c>
      <c r="H103" s="2">
        <f>IF(G103="","Sin número",IF(LEFT(G103,1)="3","Celular","Fijo"))</f>
        <v/>
      </c>
      <c r="I103" s="5" t="n"/>
      <c r="J103" s="2" t="inlineStr">
        <is>
          <t>Dg 52 # 15A-351</t>
        </is>
      </c>
      <c r="K103" s="6" t="inlineStr">
        <is>
          <t>Por contactar</t>
        </is>
      </c>
      <c r="L103" s="7" t="n"/>
      <c r="M103" s="8">
        <f>IF(L103="","",L103+4)</f>
        <v/>
      </c>
      <c r="N103" s="6" t="n"/>
      <c r="O103" s="9">
        <f>IF(N103="","",INDEX(Planes!$B$4:$B$6,MATCH(N103,Planes!$A$4:$A$6,0)))</f>
        <v/>
      </c>
      <c r="P103" s="6" t="inlineStr">
        <is>
          <t>Llamar (fijo)</t>
        </is>
      </c>
      <c r="Q103" s="6" t="inlineStr"/>
      <c r="R103" s="2" t="inlineStr">
        <is>
          <t>Sin confirmar</t>
        </is>
      </c>
      <c r="S103" s="5">
        <f>HYPERLINK("https://www.informacolombia.com/directorio-empresas/informacion-empresa/inversiones-nancy-restrepo-sas","Ver fuente")</f>
        <v/>
      </c>
    </row>
    <row r="104">
      <c r="A104" s="2" t="n">
        <v>103</v>
      </c>
      <c r="B104" s="11" t="inlineStr">
        <is>
          <t>Baja</t>
        </is>
      </c>
      <c r="C104" s="2" t="inlineStr">
        <is>
          <t>Mi Lechoncito Restaurante Bar SAS</t>
        </is>
      </c>
      <c r="D104" s="2" t="inlineStr">
        <is>
          <t>Bello</t>
        </is>
      </c>
      <c r="E104" s="2" t="inlineStr"/>
      <c r="F104" s="2" t="inlineStr">
        <is>
          <t>Restaurante bar</t>
        </is>
      </c>
      <c r="G104" s="4" t="inlineStr">
        <is>
          <t>6042753497</t>
        </is>
      </c>
      <c r="H104" s="2">
        <f>IF(G104="","Sin número",IF(LEFT(G104,1)="3","Celular","Fijo"))</f>
        <v/>
      </c>
      <c r="I104" s="5" t="n"/>
      <c r="J104" s="2" t="inlineStr">
        <is>
          <t>Cra 51 # 50A-18</t>
        </is>
      </c>
      <c r="K104" s="6" t="inlineStr">
        <is>
          <t>Por contactar</t>
        </is>
      </c>
      <c r="L104" s="7" t="n"/>
      <c r="M104" s="8">
        <f>IF(L104="","",L104+4)</f>
        <v/>
      </c>
      <c r="N104" s="6" t="n"/>
      <c r="O104" s="9">
        <f>IF(N104="","",INDEX(Planes!$B$4:$B$6,MATCH(N104,Planes!$A$4:$A$6,0)))</f>
        <v/>
      </c>
      <c r="P104" s="6" t="inlineStr">
        <is>
          <t>Llamar (fijo)</t>
        </is>
      </c>
      <c r="Q104" s="6" t="inlineStr"/>
      <c r="R104" s="2" t="inlineStr">
        <is>
          <t>Sin confirmar</t>
        </is>
      </c>
      <c r="S104" s="5">
        <f>HYPERLINK("https://www.informacolombia.com/directorio-empresas/informacion-empresa/mi-lechoncito-restaurante-bar-sas","Ver fuente")</f>
        <v/>
      </c>
    </row>
    <row r="105">
      <c r="A105" s="2" t="n">
        <v>104</v>
      </c>
      <c r="B105" s="11" t="inlineStr">
        <is>
          <t>Baja</t>
        </is>
      </c>
      <c r="C105" s="2" t="inlineStr">
        <is>
          <t>Raíces El Sabor de la Vida SAS</t>
        </is>
      </c>
      <c r="D105" s="2" t="inlineStr">
        <is>
          <t>Bello</t>
        </is>
      </c>
      <c r="E105" s="2" t="inlineStr"/>
      <c r="F105" s="2" t="inlineStr">
        <is>
          <t>Restaurante</t>
        </is>
      </c>
      <c r="G105" s="4" t="inlineStr">
        <is>
          <t>6045574628</t>
        </is>
      </c>
      <c r="H105" s="2">
        <f>IF(G105="","Sin número",IF(LEFT(G105,1)="3","Celular","Fijo"))</f>
        <v/>
      </c>
      <c r="I105" s="5" t="n"/>
      <c r="J105" s="2" t="inlineStr">
        <is>
          <t>Cl 52 # 52-51</t>
        </is>
      </c>
      <c r="K105" s="6" t="inlineStr">
        <is>
          <t>Por contactar</t>
        </is>
      </c>
      <c r="L105" s="7" t="n"/>
      <c r="M105" s="8">
        <f>IF(L105="","",L105+4)</f>
        <v/>
      </c>
      <c r="N105" s="6" t="n"/>
      <c r="O105" s="9">
        <f>IF(N105="","",INDEX(Planes!$B$4:$B$6,MATCH(N105,Planes!$A$4:$A$6,0)))</f>
        <v/>
      </c>
      <c r="P105" s="6" t="inlineStr">
        <is>
          <t>Llamar (fijo)</t>
        </is>
      </c>
      <c r="Q105" s="6" t="inlineStr"/>
      <c r="R105" s="2" t="inlineStr">
        <is>
          <t>Sin confirmar</t>
        </is>
      </c>
      <c r="S105" s="5">
        <f>HYPERLINK("https://www.informacolombia.com/directorio-empresas/informacion-empresa/raices-sabor-vida-sas","Ver fuente")</f>
        <v/>
      </c>
    </row>
    <row r="106">
      <c r="A106" s="2" t="n">
        <v>105</v>
      </c>
      <c r="B106" s="11" t="inlineStr">
        <is>
          <t>Baja</t>
        </is>
      </c>
      <c r="C106" s="2" t="inlineStr">
        <is>
          <t>Restaurante Bar La Mula Paisa SAS</t>
        </is>
      </c>
      <c r="D106" s="2" t="inlineStr">
        <is>
          <t>Bello</t>
        </is>
      </c>
      <c r="E106" s="2" t="inlineStr"/>
      <c r="F106" s="2" t="inlineStr">
        <is>
          <t>Restaurante bar</t>
        </is>
      </c>
      <c r="G106" s="4" t="inlineStr">
        <is>
          <t>3117986735</t>
        </is>
      </c>
      <c r="H106" s="2">
        <f>IF(G106="","Sin número",IF(LEFT(G106,1)="3","Celular","Fijo"))</f>
        <v/>
      </c>
      <c r="I106" s="5" t="inlineStr">
        <is>
          <t>Abrir chat con mensaje</t>
        </is>
      </c>
      <c r="J106" s="2" t="inlineStr">
        <is>
          <t>Cra 51 # 50-23</t>
        </is>
      </c>
      <c r="K106" s="6" t="inlineStr">
        <is>
          <t>Por contactar</t>
        </is>
      </c>
      <c r="L106" s="7" t="n"/>
      <c r="M106" s="8">
        <f>IF(L106="","",L106+4)</f>
        <v/>
      </c>
      <c r="N106" s="6" t="n"/>
      <c r="O106" s="9">
        <f>IF(N106="","",INDEX(Planes!$B$4:$B$6,MATCH(N106,Planes!$A$4:$A$6,0)))</f>
        <v/>
      </c>
      <c r="P106" s="6" t="inlineStr">
        <is>
          <t>Enviar mensaje 1</t>
        </is>
      </c>
      <c r="Q106" s="6" t="inlineStr"/>
      <c r="R106" s="2" t="inlineStr">
        <is>
          <t>Sin confirmar</t>
        </is>
      </c>
      <c r="S106" s="5">
        <f>HYPERLINK("https://directorio-empresas.einforma.co/informacion-empresa/restaurante-bar-mula-paisa-sas","Ver fuente")</f>
        <v/>
      </c>
    </row>
    <row r="107">
      <c r="A107" s="2" t="n">
        <v>106</v>
      </c>
      <c r="B107" s="11" t="inlineStr">
        <is>
          <t>Baja</t>
        </is>
      </c>
      <c r="C107" s="2" t="inlineStr">
        <is>
          <t>Restaurante Rancho Grande Bello SAS</t>
        </is>
      </c>
      <c r="D107" s="2" t="inlineStr">
        <is>
          <t>Bello</t>
        </is>
      </c>
      <c r="E107" s="2" t="inlineStr"/>
      <c r="F107" s="2" t="inlineStr">
        <is>
          <t>Restaurante</t>
        </is>
      </c>
      <c r="G107" s="4" t="inlineStr">
        <is>
          <t>6042721563</t>
        </is>
      </c>
      <c r="H107" s="2">
        <f>IF(G107="","Sin número",IF(LEFT(G107,1)="3","Celular","Fijo"))</f>
        <v/>
      </c>
      <c r="I107" s="5" t="n"/>
      <c r="J107" s="2" t="inlineStr">
        <is>
          <t>Cra 50 # 48-15</t>
        </is>
      </c>
      <c r="K107" s="6" t="inlineStr">
        <is>
          <t>Por contactar</t>
        </is>
      </c>
      <c r="L107" s="7" t="n"/>
      <c r="M107" s="8">
        <f>IF(L107="","",L107+4)</f>
        <v/>
      </c>
      <c r="N107" s="6" t="n"/>
      <c r="O107" s="9">
        <f>IF(N107="","",INDEX(Planes!$B$4:$B$6,MATCH(N107,Planes!$A$4:$A$6,0)))</f>
        <v/>
      </c>
      <c r="P107" s="6" t="inlineStr">
        <is>
          <t>Llamar (fijo)</t>
        </is>
      </c>
      <c r="Q107" s="6" t="inlineStr"/>
      <c r="R107" s="2" t="inlineStr">
        <is>
          <t>Sin confirmar</t>
        </is>
      </c>
      <c r="S107" s="5">
        <f>HYPERLINK("https://www.informacolombia.com/directorio-empresas/informacion-empresa/restaurante-rancho-grande-bello-sas","Ver fuente")</f>
        <v/>
      </c>
    </row>
    <row r="108">
      <c r="A108" s="2" t="n">
        <v>107</v>
      </c>
      <c r="B108" s="11" t="inlineStr">
        <is>
          <t>Baja</t>
        </is>
      </c>
      <c r="C108" s="2" t="inlineStr">
        <is>
          <t>AFM SAS</t>
        </is>
      </c>
      <c r="D108" s="2" t="inlineStr">
        <is>
          <t>Medellín</t>
        </is>
      </c>
      <c r="E108" s="2" t="inlineStr">
        <is>
          <t>El Poblado</t>
        </is>
      </c>
      <c r="F108" s="2" t="inlineStr">
        <is>
          <t>Restaurante</t>
        </is>
      </c>
      <c r="G108" s="4" t="inlineStr">
        <is>
          <t>6043222896</t>
        </is>
      </c>
      <c r="H108" s="2">
        <f>IF(G108="","Sin número",IF(LEFT(G108,1)="3","Celular","Fijo"))</f>
        <v/>
      </c>
      <c r="I108" s="5" t="n"/>
      <c r="J108" s="2" t="inlineStr">
        <is>
          <t>Av Las Palmas</t>
        </is>
      </c>
      <c r="K108" s="6" t="inlineStr">
        <is>
          <t>Por contactar</t>
        </is>
      </c>
      <c r="L108" s="7" t="n"/>
      <c r="M108" s="8">
        <f>IF(L108="","",L108+4)</f>
        <v/>
      </c>
      <c r="N108" s="6" t="n"/>
      <c r="O108" s="9">
        <f>IF(N108="","",INDEX(Planes!$B$4:$B$6,MATCH(N108,Planes!$A$4:$A$6,0)))</f>
        <v/>
      </c>
      <c r="P108" s="6" t="inlineStr">
        <is>
          <t>Llamar (fijo)</t>
        </is>
      </c>
      <c r="Q108" s="6" t="inlineStr"/>
      <c r="R108" s="2" t="inlineStr">
        <is>
          <t>Sin confirmar</t>
        </is>
      </c>
      <c r="S108" s="5">
        <f>HYPERLINK("https://www.informacolombia.com/directorio-empresas/informacion-empresa/afm-sas","Ver fuente")</f>
        <v/>
      </c>
    </row>
    <row r="109">
      <c r="A109" s="2" t="n">
        <v>108</v>
      </c>
      <c r="B109" s="11" t="inlineStr">
        <is>
          <t>Baja</t>
        </is>
      </c>
      <c r="C109" s="2" t="inlineStr">
        <is>
          <t>Alambique Medellín SAS</t>
        </is>
      </c>
      <c r="D109" s="2" t="inlineStr">
        <is>
          <t>Medellín</t>
        </is>
      </c>
      <c r="E109" s="2" t="inlineStr">
        <is>
          <t>El Poblado</t>
        </is>
      </c>
      <c r="F109" s="2" t="inlineStr">
        <is>
          <t>Restaurante</t>
        </is>
      </c>
      <c r="G109" s="4" t="inlineStr">
        <is>
          <t>6043113714</t>
        </is>
      </c>
      <c r="H109" s="2">
        <f>IF(G109="","Sin número",IF(LEFT(G109,1)="3","Celular","Fijo"))</f>
        <v/>
      </c>
      <c r="I109" s="5" t="n"/>
      <c r="J109" s="2" t="inlineStr">
        <is>
          <t>Cl 10 # 43A-30</t>
        </is>
      </c>
      <c r="K109" s="6" t="inlineStr">
        <is>
          <t>Por contactar</t>
        </is>
      </c>
      <c r="L109" s="7" t="n"/>
      <c r="M109" s="8">
        <f>IF(L109="","",L109+4)</f>
        <v/>
      </c>
      <c r="N109" s="6" t="n"/>
      <c r="O109" s="9">
        <f>IF(N109="","",INDEX(Planes!$B$4:$B$6,MATCH(N109,Planes!$A$4:$A$6,0)))</f>
        <v/>
      </c>
      <c r="P109" s="6" t="inlineStr">
        <is>
          <t>Llamar (fijo)</t>
        </is>
      </c>
      <c r="Q109" s="6" t="inlineStr"/>
      <c r="R109" s="2" t="inlineStr">
        <is>
          <t>Sin confirmar</t>
        </is>
      </c>
      <c r="S109" s="5">
        <f>HYPERLINK("https://www.informacolombia.com/directorio-empresas/informacion-empresa/alambique-medellin-sas","Ver fuente")</f>
        <v/>
      </c>
    </row>
    <row r="110">
      <c r="A110" s="2" t="n">
        <v>109</v>
      </c>
      <c r="B110" s="11" t="inlineStr">
        <is>
          <t>Baja</t>
        </is>
      </c>
      <c r="C110" s="2" t="inlineStr">
        <is>
          <t>Albenzu SAS</t>
        </is>
      </c>
      <c r="D110" s="2" t="inlineStr">
        <is>
          <t>Medellín</t>
        </is>
      </c>
      <c r="E110" s="2" t="inlineStr"/>
      <c r="F110" s="2" t="inlineStr">
        <is>
          <t>Restaurante</t>
        </is>
      </c>
      <c r="G110" s="4" t="inlineStr">
        <is>
          <t>6044449921</t>
        </is>
      </c>
      <c r="H110" s="2">
        <f>IF(G110="","Sin número",IF(LEFT(G110,1)="3","Celular","Fijo"))</f>
        <v/>
      </c>
      <c r="I110" s="5" t="n"/>
      <c r="J110" s="2" t="inlineStr">
        <is>
          <t>Cra 81 # 32-98 L 133</t>
        </is>
      </c>
      <c r="K110" s="6" t="inlineStr">
        <is>
          <t>Por contactar</t>
        </is>
      </c>
      <c r="L110" s="7" t="n"/>
      <c r="M110" s="8">
        <f>IF(L110="","",L110+4)</f>
        <v/>
      </c>
      <c r="N110" s="6" t="n"/>
      <c r="O110" s="9">
        <f>IF(N110="","",INDEX(Planes!$B$4:$B$6,MATCH(N110,Planes!$A$4:$A$6,0)))</f>
        <v/>
      </c>
      <c r="P110" s="6" t="inlineStr">
        <is>
          <t>Llamar (fijo)</t>
        </is>
      </c>
      <c r="Q110" s="6" t="inlineStr"/>
      <c r="R110" s="2" t="inlineStr">
        <is>
          <t>Sin confirmar</t>
        </is>
      </c>
      <c r="S110" s="5">
        <f>HYPERLINK("https://directorio-empresas.einforma.co/informacion-empresa/albenzu-sas","Ver fuente")</f>
        <v/>
      </c>
    </row>
    <row r="111">
      <c r="A111" s="2" t="n">
        <v>110</v>
      </c>
      <c r="B111" s="11" t="inlineStr">
        <is>
          <t>Baja</t>
        </is>
      </c>
      <c r="C111" s="2" t="inlineStr">
        <is>
          <t>Ammazza Laureles SAS</t>
        </is>
      </c>
      <c r="D111" s="2" t="inlineStr">
        <is>
          <t>Medellín</t>
        </is>
      </c>
      <c r="E111" s="2" t="inlineStr">
        <is>
          <t>Laureles</t>
        </is>
      </c>
      <c r="F111" s="2" t="inlineStr">
        <is>
          <t>Restaurante bar</t>
        </is>
      </c>
      <c r="G111" s="4" t="inlineStr">
        <is>
          <t>3182822160</t>
        </is>
      </c>
      <c r="H111" s="2">
        <f>IF(G111="","Sin número",IF(LEFT(G111,1)="3","Celular","Fijo"))</f>
        <v/>
      </c>
      <c r="I111" s="5" t="inlineStr">
        <is>
          <t>Abrir chat con mensaje</t>
        </is>
      </c>
      <c r="J111" s="2" t="inlineStr">
        <is>
          <t>Cra 76 # 73B-39</t>
        </is>
      </c>
      <c r="K111" s="6" t="inlineStr">
        <is>
          <t>Por contactar</t>
        </is>
      </c>
      <c r="L111" s="7" t="n"/>
      <c r="M111" s="8">
        <f>IF(L111="","",L111+4)</f>
        <v/>
      </c>
      <c r="N111" s="6" t="n"/>
      <c r="O111" s="9">
        <f>IF(N111="","",INDEX(Planes!$B$4:$B$6,MATCH(N111,Planes!$A$4:$A$6,0)))</f>
        <v/>
      </c>
      <c r="P111" s="6" t="inlineStr">
        <is>
          <t>Enviar mensaje 1</t>
        </is>
      </c>
      <c r="Q111" s="6" t="inlineStr"/>
      <c r="R111" s="2" t="inlineStr">
        <is>
          <t>Sin confirmar</t>
        </is>
      </c>
      <c r="S111" s="5">
        <f>HYPERLINK("https://www.informacolombia.com/directorio-empresas/informacion-empresa/ammazza-laureles-sas","Ver fuente")</f>
        <v/>
      </c>
    </row>
    <row r="112">
      <c r="A112" s="2" t="n">
        <v>111</v>
      </c>
      <c r="B112" s="11" t="inlineStr">
        <is>
          <t>Baja</t>
        </is>
      </c>
      <c r="C112" s="2" t="inlineStr">
        <is>
          <t>Apetentes SAS</t>
        </is>
      </c>
      <c r="D112" s="2" t="inlineStr">
        <is>
          <t>Medellín</t>
        </is>
      </c>
      <c r="E112" s="2" t="inlineStr"/>
      <c r="F112" s="2" t="inlineStr">
        <is>
          <t>Cafetería</t>
        </is>
      </c>
      <c r="G112" s="4" t="inlineStr">
        <is>
          <t>3105145283</t>
        </is>
      </c>
      <c r="H112" s="2">
        <f>IF(G112="","Sin número",IF(LEFT(G112,1)="3","Celular","Fijo"))</f>
        <v/>
      </c>
      <c r="I112" s="5" t="inlineStr">
        <is>
          <t>Abrir chat con mensaje</t>
        </is>
      </c>
      <c r="J112" s="2" t="inlineStr">
        <is>
          <t>Cl 20 Sur # 27-55 L 139</t>
        </is>
      </c>
      <c r="K112" s="6" t="inlineStr">
        <is>
          <t>Por contactar</t>
        </is>
      </c>
      <c r="L112" s="7" t="n"/>
      <c r="M112" s="8">
        <f>IF(L112="","",L112+4)</f>
        <v/>
      </c>
      <c r="N112" s="6" t="n"/>
      <c r="O112" s="9">
        <f>IF(N112="","",INDEX(Planes!$B$4:$B$6,MATCH(N112,Planes!$A$4:$A$6,0)))</f>
        <v/>
      </c>
      <c r="P112" s="6" t="inlineStr">
        <is>
          <t>Enviar mensaje 1</t>
        </is>
      </c>
      <c r="Q112" s="6" t="inlineStr"/>
      <c r="R112" s="2" t="inlineStr">
        <is>
          <t>Sin confirmar</t>
        </is>
      </c>
      <c r="S112" s="5">
        <f>HYPERLINK("https://www.informacolombia.com/directorio-empresas/informacion-empresa/apetentes-sas","Ver fuente")</f>
        <v/>
      </c>
    </row>
    <row r="113">
      <c r="A113" s="2" t="n">
        <v>112</v>
      </c>
      <c r="B113" s="11" t="inlineStr">
        <is>
          <t>Baja</t>
        </is>
      </c>
      <c r="C113" s="2" t="inlineStr">
        <is>
          <t>Arepas del Fogón Paisa SAS</t>
        </is>
      </c>
      <c r="D113" s="2" t="inlineStr">
        <is>
          <t>Medellín</t>
        </is>
      </c>
      <c r="E113" s="2" t="inlineStr"/>
      <c r="F113" s="2" t="inlineStr">
        <is>
          <t>Arepería</t>
        </is>
      </c>
      <c r="G113" s="4" t="inlineStr">
        <is>
          <t>6044481307</t>
        </is>
      </c>
      <c r="H113" s="2">
        <f>IF(G113="","Sin número",IF(LEFT(G113,1)="3","Celular","Fijo"))</f>
        <v/>
      </c>
      <c r="I113" s="5" t="n"/>
      <c r="J113" s="2" t="inlineStr">
        <is>
          <t>Cra 28 # 59-21</t>
        </is>
      </c>
      <c r="K113" s="6" t="inlineStr">
        <is>
          <t>Por contactar</t>
        </is>
      </c>
      <c r="L113" s="7" t="n"/>
      <c r="M113" s="8">
        <f>IF(L113="","",L113+4)</f>
        <v/>
      </c>
      <c r="N113" s="6" t="n"/>
      <c r="O113" s="9">
        <f>IF(N113="","",INDEX(Planes!$B$4:$B$6,MATCH(N113,Planes!$A$4:$A$6,0)))</f>
        <v/>
      </c>
      <c r="P113" s="6" t="inlineStr">
        <is>
          <t>Llamar (fijo)</t>
        </is>
      </c>
      <c r="Q113" s="6" t="inlineStr"/>
      <c r="R113" s="2" t="inlineStr">
        <is>
          <t>Sin confirmar</t>
        </is>
      </c>
      <c r="S113" s="5">
        <f>HYPERLINK("https://directorio-empresas.einforma.co/informacion-empresa/arepas-fogon-paisa-sas","Ver fuente")</f>
        <v/>
      </c>
    </row>
    <row r="114">
      <c r="A114" s="2" t="n">
        <v>113</v>
      </c>
      <c r="B114" s="11" t="inlineStr">
        <is>
          <t>Baja</t>
        </is>
      </c>
      <c r="C114" s="2" t="inlineStr">
        <is>
          <t>Café Retiro SAS</t>
        </is>
      </c>
      <c r="D114" s="2" t="inlineStr">
        <is>
          <t>Medellín</t>
        </is>
      </c>
      <c r="E114" s="2" t="inlineStr"/>
      <c r="F114" s="2" t="inlineStr">
        <is>
          <t>Café</t>
        </is>
      </c>
      <c r="G114" s="4" t="inlineStr">
        <is>
          <t>3146454826</t>
        </is>
      </c>
      <c r="H114" s="2">
        <f>IF(G114="","Sin número",IF(LEFT(G114,1)="3","Celular","Fijo"))</f>
        <v/>
      </c>
      <c r="I114" s="5" t="inlineStr">
        <is>
          <t>Abrir chat con mensaje</t>
        </is>
      </c>
      <c r="J114" s="2" t="inlineStr">
        <is>
          <t>Cra 48A # 16 Sur-86 Of 701</t>
        </is>
      </c>
      <c r="K114" s="6" t="inlineStr">
        <is>
          <t>Por contactar</t>
        </is>
      </c>
      <c r="L114" s="7" t="n"/>
      <c r="M114" s="8">
        <f>IF(L114="","",L114+4)</f>
        <v/>
      </c>
      <c r="N114" s="6" t="n"/>
      <c r="O114" s="9">
        <f>IF(N114="","",INDEX(Planes!$B$4:$B$6,MATCH(N114,Planes!$A$4:$A$6,0)))</f>
        <v/>
      </c>
      <c r="P114" s="6" t="inlineStr">
        <is>
          <t>Enviar mensaje 1</t>
        </is>
      </c>
      <c r="Q114" s="6" t="inlineStr"/>
      <c r="R114" s="2" t="inlineStr">
        <is>
          <t>Sin confirmar</t>
        </is>
      </c>
      <c r="S114" s="5">
        <f>HYPERLINK("https://www.informacolombia.com/directorio-empresas/informacion-empresa/inversiones-cafe-retiro-sas","Ver fuente")</f>
        <v/>
      </c>
    </row>
    <row r="115">
      <c r="A115" s="2" t="n">
        <v>114</v>
      </c>
      <c r="B115" s="11" t="inlineStr">
        <is>
          <t>Baja</t>
        </is>
      </c>
      <c r="C115" s="2" t="inlineStr">
        <is>
          <t>Café Sudamérica Colombia SAS</t>
        </is>
      </c>
      <c r="D115" s="2" t="inlineStr">
        <is>
          <t>Medellín</t>
        </is>
      </c>
      <c r="E115" s="2" t="inlineStr"/>
      <c r="F115" s="2" t="inlineStr">
        <is>
          <t>Café</t>
        </is>
      </c>
      <c r="G115" s="4" t="inlineStr">
        <is>
          <t>3007600519</t>
        </is>
      </c>
      <c r="H115" s="2">
        <f>IF(G115="","Sin número",IF(LEFT(G115,1)="3","Celular","Fijo"))</f>
        <v/>
      </c>
      <c r="I115" s="5" t="inlineStr">
        <is>
          <t>Abrir chat con mensaje</t>
        </is>
      </c>
      <c r="J115" s="2" t="inlineStr">
        <is>
          <t>Cl 20 Sur # 27-55</t>
        </is>
      </c>
      <c r="K115" s="6" t="inlineStr">
        <is>
          <t>Por contactar</t>
        </is>
      </c>
      <c r="L115" s="7" t="n"/>
      <c r="M115" s="8">
        <f>IF(L115="","",L115+4)</f>
        <v/>
      </c>
      <c r="N115" s="6" t="n"/>
      <c r="O115" s="9">
        <f>IF(N115="","",INDEX(Planes!$B$4:$B$6,MATCH(N115,Planes!$A$4:$A$6,0)))</f>
        <v/>
      </c>
      <c r="P115" s="6" t="inlineStr">
        <is>
          <t>Enviar mensaje 1</t>
        </is>
      </c>
      <c r="Q115" s="6" t="inlineStr"/>
      <c r="R115" s="2" t="inlineStr">
        <is>
          <t>Sin confirmar</t>
        </is>
      </c>
      <c r="S115" s="5">
        <f>HYPERLINK("https://www.informacolombia.com/directorio-empresas/informacion-empresa/cafe-sudamerica-colombia-sas","Ver fuente")</f>
        <v/>
      </c>
    </row>
    <row r="116">
      <c r="A116" s="2" t="n">
        <v>115</v>
      </c>
      <c r="B116" s="11" t="inlineStr">
        <is>
          <t>Baja</t>
        </is>
      </c>
      <c r="C116" s="2" t="inlineStr">
        <is>
          <t>Chef Burger Company SAS</t>
        </is>
      </c>
      <c r="D116" s="2" t="inlineStr">
        <is>
          <t>Medellín</t>
        </is>
      </c>
      <c r="E116" s="2" t="inlineStr"/>
      <c r="F116" s="2" t="inlineStr">
        <is>
          <t>Comida rápida</t>
        </is>
      </c>
      <c r="G116" s="4" t="inlineStr">
        <is>
          <t>6044482378</t>
        </is>
      </c>
      <c r="H116" s="2">
        <f>IF(G116="","Sin número",IF(LEFT(G116,1)="3","Celular","Fijo"))</f>
        <v/>
      </c>
      <c r="I116" s="5" t="n"/>
      <c r="J116" s="2" t="inlineStr">
        <is>
          <t>Cra 43 # 25A-127</t>
        </is>
      </c>
      <c r="K116" s="6" t="inlineStr">
        <is>
          <t>Por contactar</t>
        </is>
      </c>
      <c r="L116" s="7" t="n"/>
      <c r="M116" s="8">
        <f>IF(L116="","",L116+4)</f>
        <v/>
      </c>
      <c r="N116" s="6" t="n"/>
      <c r="O116" s="9">
        <f>IF(N116="","",INDEX(Planes!$B$4:$B$6,MATCH(N116,Planes!$A$4:$A$6,0)))</f>
        <v/>
      </c>
      <c r="P116" s="6" t="inlineStr">
        <is>
          <t>Llamar (fijo)</t>
        </is>
      </c>
      <c r="Q116" s="6" t="inlineStr"/>
      <c r="R116" s="2" t="inlineStr">
        <is>
          <t>Sin confirmar</t>
        </is>
      </c>
      <c r="S116" s="5">
        <f>HYPERLINK("https://www.informacolombia.com/directorio-empresas/informacion-empresa/chef-burger-sas","Ver fuente")</f>
        <v/>
      </c>
    </row>
    <row r="117">
      <c r="A117" s="2" t="n">
        <v>116</v>
      </c>
      <c r="B117" s="11" t="inlineStr">
        <is>
          <t>Baja</t>
        </is>
      </c>
      <c r="C117" s="2" t="inlineStr">
        <is>
          <t>Cocina Café y Pan SAS</t>
        </is>
      </c>
      <c r="D117" s="2" t="inlineStr">
        <is>
          <t>Medellín</t>
        </is>
      </c>
      <c r="E117" s="2" t="inlineStr">
        <is>
          <t>El Poblado</t>
        </is>
      </c>
      <c r="F117" s="2" t="inlineStr">
        <is>
          <t>Café / panadería</t>
        </is>
      </c>
      <c r="G117" s="4" t="inlineStr">
        <is>
          <t>3104197199</t>
        </is>
      </c>
      <c r="H117" s="2">
        <f>IF(G117="","Sin número",IF(LEFT(G117,1)="3","Celular","Fijo"))</f>
        <v/>
      </c>
      <c r="I117" s="5" t="inlineStr">
        <is>
          <t>Abrir chat con mensaje</t>
        </is>
      </c>
      <c r="J117" s="2" t="inlineStr">
        <is>
          <t>Cra 25A # 1A Sur-45 Lc 3465</t>
        </is>
      </c>
      <c r="K117" s="6" t="inlineStr">
        <is>
          <t>Por contactar</t>
        </is>
      </c>
      <c r="L117" s="7" t="n"/>
      <c r="M117" s="8">
        <f>IF(L117="","",L117+4)</f>
        <v/>
      </c>
      <c r="N117" s="6" t="n"/>
      <c r="O117" s="9">
        <f>IF(N117="","",INDEX(Planes!$B$4:$B$6,MATCH(N117,Planes!$A$4:$A$6,0)))</f>
        <v/>
      </c>
      <c r="P117" s="6" t="inlineStr">
        <is>
          <t>Enviar mensaje 1</t>
        </is>
      </c>
      <c r="Q117" s="6" t="inlineStr"/>
      <c r="R117" s="2" t="inlineStr">
        <is>
          <t>Sin confirmar</t>
        </is>
      </c>
      <c r="S117" s="5">
        <f>HYPERLINK("https://www.informacolombia.com/directorio-empresas/informacion-empresa/cocina-cafe-pan-sas","Ver fuente")</f>
        <v/>
      </c>
    </row>
    <row r="118">
      <c r="A118" s="2" t="n">
        <v>117</v>
      </c>
      <c r="B118" s="11" t="inlineStr">
        <is>
          <t>Baja</t>
        </is>
      </c>
      <c r="C118" s="2" t="inlineStr">
        <is>
          <t>Coffee Development Projects SAS</t>
        </is>
      </c>
      <c r="D118" s="2" t="inlineStr">
        <is>
          <t>Medellín</t>
        </is>
      </c>
      <c r="E118" s="2" t="inlineStr">
        <is>
          <t>El Poblado</t>
        </is>
      </c>
      <c r="F118" s="2" t="inlineStr">
        <is>
          <t>Café</t>
        </is>
      </c>
      <c r="G118" s="4" t="inlineStr">
        <is>
          <t>3246015171</t>
        </is>
      </c>
      <c r="H118" s="2">
        <f>IF(G118="","Sin número",IF(LEFT(G118,1)="3","Celular","Fijo"))</f>
        <v/>
      </c>
      <c r="I118" s="5" t="inlineStr">
        <is>
          <t>Abrir chat con mensaje</t>
        </is>
      </c>
      <c r="J118" s="2" t="inlineStr">
        <is>
          <t>Cra 34 # 7-36</t>
        </is>
      </c>
      <c r="K118" s="6" t="inlineStr">
        <is>
          <t>Por contactar</t>
        </is>
      </c>
      <c r="L118" s="7" t="n"/>
      <c r="M118" s="8">
        <f>IF(L118="","",L118+4)</f>
        <v/>
      </c>
      <c r="N118" s="6" t="n"/>
      <c r="O118" s="9">
        <f>IF(N118="","",INDEX(Planes!$B$4:$B$6,MATCH(N118,Planes!$A$4:$A$6,0)))</f>
        <v/>
      </c>
      <c r="P118" s="6" t="inlineStr">
        <is>
          <t>Enviar mensaje 1</t>
        </is>
      </c>
      <c r="Q118" s="6" t="inlineStr"/>
      <c r="R118" s="2" t="inlineStr">
        <is>
          <t>Sin confirmar</t>
        </is>
      </c>
      <c r="S118" s="5">
        <f>HYPERLINK("https://www.informacolombia.com/directorio-empresas/informacion-empresa/coffee-development-projects-sas","Ver fuente")</f>
        <v/>
      </c>
    </row>
    <row r="119">
      <c r="A119" s="2" t="n">
        <v>118</v>
      </c>
      <c r="B119" s="11" t="inlineStr">
        <is>
          <t>Baja</t>
        </is>
      </c>
      <c r="C119" s="2" t="inlineStr">
        <is>
          <t>El Pollote Manrique SAS</t>
        </is>
      </c>
      <c r="D119" s="2" t="inlineStr">
        <is>
          <t>Medellín</t>
        </is>
      </c>
      <c r="E119" s="2" t="inlineStr">
        <is>
          <t>Manrique</t>
        </is>
      </c>
      <c r="F119" s="2" t="inlineStr">
        <is>
          <t>Asadero (por confirmar)</t>
        </is>
      </c>
      <c r="G119" s="4" t="inlineStr">
        <is>
          <t>3017097365</t>
        </is>
      </c>
      <c r="H119" s="2">
        <f>IF(G119="","Sin número",IF(LEFT(G119,1)="3","Celular","Fijo"))</f>
        <v/>
      </c>
      <c r="I119" s="5" t="inlineStr">
        <is>
          <t>Abrir chat con mensaje</t>
        </is>
      </c>
      <c r="J119" s="2" t="inlineStr">
        <is>
          <t>Cl 75C # 32-13</t>
        </is>
      </c>
      <c r="K119" s="6" t="inlineStr">
        <is>
          <t>Por contactar</t>
        </is>
      </c>
      <c r="L119" s="7" t="n"/>
      <c r="M119" s="8">
        <f>IF(L119="","",L119+4)</f>
        <v/>
      </c>
      <c r="N119" s="6" t="n"/>
      <c r="O119" s="9">
        <f>IF(N119="","",INDEX(Planes!$B$4:$B$6,MATCH(N119,Planes!$A$4:$A$6,0)))</f>
        <v/>
      </c>
      <c r="P119" s="6" t="inlineStr">
        <is>
          <t>Enviar mensaje 1</t>
        </is>
      </c>
      <c r="Q119" s="6" t="inlineStr"/>
      <c r="R119" s="2" t="inlineStr">
        <is>
          <t>Sin confirmar</t>
        </is>
      </c>
      <c r="S119" s="5">
        <f>HYPERLINK("https://www.informacolombia.com/directorio-empresas/informacion-empresa/clinica-veterinaria-manrique-sas","Ver fuente")</f>
        <v/>
      </c>
    </row>
    <row r="120">
      <c r="A120" s="2" t="n">
        <v>119</v>
      </c>
      <c r="B120" s="11" t="inlineStr">
        <is>
          <t>Baja</t>
        </is>
      </c>
      <c r="C120" s="2" t="inlineStr">
        <is>
          <t>Elemental Cocina Mesa Bar SAS</t>
        </is>
      </c>
      <c r="D120" s="2" t="inlineStr">
        <is>
          <t>Medellín</t>
        </is>
      </c>
      <c r="E120" s="2" t="inlineStr"/>
      <c r="F120" s="2" t="inlineStr">
        <is>
          <t>Restaurante bar</t>
        </is>
      </c>
      <c r="G120" s="4" t="inlineStr">
        <is>
          <t>3232121418</t>
        </is>
      </c>
      <c r="H120" s="2">
        <f>IF(G120="","Sin número",IF(LEFT(G120,1)="3","Celular","Fijo"))</f>
        <v/>
      </c>
      <c r="I120" s="5" t="inlineStr">
        <is>
          <t>Abrir chat con mensaje</t>
        </is>
      </c>
      <c r="J120" s="2" t="inlineStr">
        <is>
          <t>Cra 52A # 12-47</t>
        </is>
      </c>
      <c r="K120" s="6" t="inlineStr">
        <is>
          <t>Por contactar</t>
        </is>
      </c>
      <c r="L120" s="7" t="n"/>
      <c r="M120" s="8">
        <f>IF(L120="","",L120+4)</f>
        <v/>
      </c>
      <c r="N120" s="6" t="n"/>
      <c r="O120" s="9">
        <f>IF(N120="","",INDEX(Planes!$B$4:$B$6,MATCH(N120,Planes!$A$4:$A$6,0)))</f>
        <v/>
      </c>
      <c r="P120" s="6" t="inlineStr">
        <is>
          <t>Enviar mensaje 1</t>
        </is>
      </c>
      <c r="Q120" s="6" t="inlineStr"/>
      <c r="R120" s="2" t="inlineStr">
        <is>
          <t>Sin confirmar</t>
        </is>
      </c>
      <c r="S120" s="5">
        <f>HYPERLINK("https://directorio-empresas.einforma.co/informacion-empresa/elemental-cocina-mesa-bar-sas","Ver fuente")</f>
        <v/>
      </c>
    </row>
    <row r="121">
      <c r="A121" s="2" t="n">
        <v>120</v>
      </c>
      <c r="B121" s="11" t="inlineStr">
        <is>
          <t>Baja</t>
        </is>
      </c>
      <c r="C121" s="2" t="inlineStr">
        <is>
          <t>Eventos y Alimentos SAS</t>
        </is>
      </c>
      <c r="D121" s="2" t="inlineStr">
        <is>
          <t>Medellín</t>
        </is>
      </c>
      <c r="E121" s="2" t="inlineStr"/>
      <c r="F121" s="2" t="inlineStr">
        <is>
          <t>Autoservicio de comidas</t>
        </is>
      </c>
      <c r="G121" s="4" t="inlineStr">
        <is>
          <t>3148079327</t>
        </is>
      </c>
      <c r="H121" s="2">
        <f>IF(G121="","Sin número",IF(LEFT(G121,1)="3","Celular","Fijo"))</f>
        <v/>
      </c>
      <c r="I121" s="5" t="inlineStr">
        <is>
          <t>Abrir chat con mensaje</t>
        </is>
      </c>
      <c r="J121" s="2" t="inlineStr">
        <is>
          <t>Cra 72 # 48-100</t>
        </is>
      </c>
      <c r="K121" s="6" t="inlineStr">
        <is>
          <t>Por contactar</t>
        </is>
      </c>
      <c r="L121" s="7" t="n"/>
      <c r="M121" s="8">
        <f>IF(L121="","",L121+4)</f>
        <v/>
      </c>
      <c r="N121" s="6" t="n"/>
      <c r="O121" s="9">
        <f>IF(N121="","",INDEX(Planes!$B$4:$B$6,MATCH(N121,Planes!$A$4:$A$6,0)))</f>
        <v/>
      </c>
      <c r="P121" s="6" t="inlineStr">
        <is>
          <t>Enviar mensaje 1</t>
        </is>
      </c>
      <c r="Q121" s="6" t="inlineStr"/>
      <c r="R121" s="2" t="inlineStr">
        <is>
          <t>Sin confirmar</t>
        </is>
      </c>
      <c r="S121" s="5">
        <f>HYPERLINK("https://directorio-empresas.einforma.co/informacion-empresa/eventos-alimentos-sas","Ver fuente")</f>
        <v/>
      </c>
    </row>
    <row r="122">
      <c r="A122" s="2" t="n">
        <v>121</v>
      </c>
      <c r="B122" s="11" t="inlineStr">
        <is>
          <t>Baja</t>
        </is>
      </c>
      <c r="C122" s="2" t="inlineStr">
        <is>
          <t>Gastronomía y Eventos Empresariales SAS</t>
        </is>
      </c>
      <c r="D122" s="2" t="inlineStr">
        <is>
          <t>Medellín</t>
        </is>
      </c>
      <c r="E122" s="2" t="inlineStr"/>
      <c r="F122" s="2" t="inlineStr">
        <is>
          <t>Restaurante</t>
        </is>
      </c>
      <c r="G122" s="4" t="inlineStr">
        <is>
          <t>6043545565</t>
        </is>
      </c>
      <c r="H122" s="2">
        <f>IF(G122="","Sin número",IF(LEFT(G122,1)="3","Celular","Fijo"))</f>
        <v/>
      </c>
      <c r="I122" s="5" t="n"/>
      <c r="J122" s="2" t="inlineStr"/>
      <c r="K122" s="6" t="inlineStr">
        <is>
          <t>Por contactar</t>
        </is>
      </c>
      <c r="L122" s="7" t="n"/>
      <c r="M122" s="8">
        <f>IF(L122="","",L122+4)</f>
        <v/>
      </c>
      <c r="N122" s="6" t="n"/>
      <c r="O122" s="9">
        <f>IF(N122="","",INDEX(Planes!$B$4:$B$6,MATCH(N122,Planes!$A$4:$A$6,0)))</f>
        <v/>
      </c>
      <c r="P122" s="6" t="inlineStr">
        <is>
          <t>Llamar (fijo)</t>
        </is>
      </c>
      <c r="Q122" s="6" t="inlineStr"/>
      <c r="R122" s="2" t="inlineStr">
        <is>
          <t>Sin confirmar</t>
        </is>
      </c>
      <c r="S122" s="5">
        <f>HYPERLINK("https://www.informacolombia.com/directorio-empresas/actividad/5611_EXPENDIO-A-LA-MESA-DE-COMIDAS-PREPARADAS/localidad_medellin?qPg=2","Ver fuente")</f>
        <v/>
      </c>
    </row>
    <row r="123">
      <c r="A123" s="2" t="n">
        <v>122</v>
      </c>
      <c r="B123" s="11" t="inlineStr">
        <is>
          <t>Baja</t>
        </is>
      </c>
      <c r="C123" s="2" t="inlineStr">
        <is>
          <t>Gourmet y Cocina SAS</t>
        </is>
      </c>
      <c r="D123" s="2" t="inlineStr">
        <is>
          <t>Medellín</t>
        </is>
      </c>
      <c r="E123" s="2" t="inlineStr">
        <is>
          <t>El Poblado</t>
        </is>
      </c>
      <c r="F123" s="2" t="inlineStr">
        <is>
          <t>Restaurante</t>
        </is>
      </c>
      <c r="G123" s="4" t="inlineStr">
        <is>
          <t>6043113103</t>
        </is>
      </c>
      <c r="H123" s="2">
        <f>IF(G123="","Sin número",IF(LEFT(G123,1)="3","Celular","Fijo"))</f>
        <v/>
      </c>
      <c r="I123" s="5" t="n"/>
      <c r="J123" s="2" t="inlineStr">
        <is>
          <t>Cl 6 Sur # 43A-92</t>
        </is>
      </c>
      <c r="K123" s="6" t="inlineStr">
        <is>
          <t>Por contactar</t>
        </is>
      </c>
      <c r="L123" s="7" t="n"/>
      <c r="M123" s="8">
        <f>IF(L123="","",L123+4)</f>
        <v/>
      </c>
      <c r="N123" s="6" t="n"/>
      <c r="O123" s="9">
        <f>IF(N123="","",INDEX(Planes!$B$4:$B$6,MATCH(N123,Planes!$A$4:$A$6,0)))</f>
        <v/>
      </c>
      <c r="P123" s="6" t="inlineStr">
        <is>
          <t>Llamar (fijo)</t>
        </is>
      </c>
      <c r="Q123" s="6" t="inlineStr"/>
      <c r="R123" s="2" t="inlineStr">
        <is>
          <t>Sin confirmar</t>
        </is>
      </c>
      <c r="S123" s="5">
        <f>HYPERLINK("https://www.informacolombia.com/directorio-empresas/informacion-empresa/gourmet-cocina-ltda","Ver fuente")</f>
        <v/>
      </c>
    </row>
    <row r="124">
      <c r="A124" s="2" t="n">
        <v>123</v>
      </c>
      <c r="B124" s="11" t="inlineStr">
        <is>
          <t>Baja</t>
        </is>
      </c>
      <c r="C124" s="2" t="inlineStr">
        <is>
          <t>Grupo Alimenticio Pizzotas SAS</t>
        </is>
      </c>
      <c r="D124" s="2" t="inlineStr">
        <is>
          <t>Medellín</t>
        </is>
      </c>
      <c r="E124" s="2" t="inlineStr"/>
      <c r="F124" s="2" t="inlineStr">
        <is>
          <t>Pizzería</t>
        </is>
      </c>
      <c r="G124" s="4" t="inlineStr">
        <is>
          <t>6042532343</t>
        </is>
      </c>
      <c r="H124" s="2">
        <f>IF(G124="","Sin número",IF(LEFT(G124,1)="3","Celular","Fijo"))</f>
        <v/>
      </c>
      <c r="I124" s="5" t="n"/>
      <c r="J124" s="2" t="inlineStr">
        <is>
          <t>Cl 35 # 85B-60</t>
        </is>
      </c>
      <c r="K124" s="6" t="inlineStr">
        <is>
          <t>Por contactar</t>
        </is>
      </c>
      <c r="L124" s="7" t="n"/>
      <c r="M124" s="8">
        <f>IF(L124="","",L124+4)</f>
        <v/>
      </c>
      <c r="N124" s="6" t="n"/>
      <c r="O124" s="9">
        <f>IF(N124="","",INDEX(Planes!$B$4:$B$6,MATCH(N124,Planes!$A$4:$A$6,0)))</f>
        <v/>
      </c>
      <c r="P124" s="6" t="inlineStr">
        <is>
          <t>Llamar (fijo)</t>
        </is>
      </c>
      <c r="Q124" s="6" t="inlineStr"/>
      <c r="R124" s="2" t="inlineStr">
        <is>
          <t>Sin confirmar</t>
        </is>
      </c>
      <c r="S124" s="5">
        <f>HYPERLINK("https://directorio-empresas.einforma.co/informacion-empresa/grupo-alimenticio-pizzotas-sas","Ver fuente")</f>
        <v/>
      </c>
    </row>
    <row r="125">
      <c r="A125" s="2" t="n">
        <v>124</v>
      </c>
      <c r="B125" s="11" t="inlineStr">
        <is>
          <t>Baja</t>
        </is>
      </c>
      <c r="C125" s="2" t="inlineStr">
        <is>
          <t>Hamburguesas La 46 SAS</t>
        </is>
      </c>
      <c r="D125" s="2" t="inlineStr">
        <is>
          <t>Medellín</t>
        </is>
      </c>
      <c r="E125" s="2" t="inlineStr"/>
      <c r="F125" s="2" t="inlineStr">
        <is>
          <t>Comida rápida</t>
        </is>
      </c>
      <c r="G125" s="4" t="inlineStr">
        <is>
          <t>6042330893</t>
        </is>
      </c>
      <c r="H125" s="2">
        <f>IF(G125="","Sin número",IF(LEFT(G125,1)="3","Celular","Fijo"))</f>
        <v/>
      </c>
      <c r="I125" s="5" t="n"/>
      <c r="J125" s="2" t="inlineStr">
        <is>
          <t>Cra 46 # 79-40</t>
        </is>
      </c>
      <c r="K125" s="6" t="inlineStr">
        <is>
          <t>Por contactar</t>
        </is>
      </c>
      <c r="L125" s="7" t="n"/>
      <c r="M125" s="8">
        <f>IF(L125="","",L125+4)</f>
        <v/>
      </c>
      <c r="N125" s="6" t="n"/>
      <c r="O125" s="9">
        <f>IF(N125="","",INDEX(Planes!$B$4:$B$6,MATCH(N125,Planes!$A$4:$A$6,0)))</f>
        <v/>
      </c>
      <c r="P125" s="6" t="inlineStr">
        <is>
          <t>Llamar (fijo)</t>
        </is>
      </c>
      <c r="Q125" s="6" t="inlineStr"/>
      <c r="R125" s="2" t="inlineStr">
        <is>
          <t>Sin confirmar</t>
        </is>
      </c>
      <c r="S125" s="5">
        <f>HYPERLINK("https://directorio-empresas.einforma.co/informacion-empresa/hamburguesas-46-sas","Ver fuente")</f>
        <v/>
      </c>
    </row>
    <row r="126">
      <c r="A126" s="2" t="n">
        <v>125</v>
      </c>
      <c r="B126" s="11" t="inlineStr">
        <is>
          <t>Baja</t>
        </is>
      </c>
      <c r="C126" s="2" t="inlineStr">
        <is>
          <t>Hamburguesas y Perros del Barrio SAS</t>
        </is>
      </c>
      <c r="D126" s="2" t="inlineStr">
        <is>
          <t>Medellín</t>
        </is>
      </c>
      <c r="E126" s="2" t="inlineStr"/>
      <c r="F126" s="2" t="inlineStr">
        <is>
          <t>Comida rápida</t>
        </is>
      </c>
      <c r="G126" s="4" t="inlineStr">
        <is>
          <t>6045299868</t>
        </is>
      </c>
      <c r="H126" s="2">
        <f>IF(G126="","Sin número",IF(LEFT(G126,1)="3","Celular","Fijo"))</f>
        <v/>
      </c>
      <c r="I126" s="5" t="n"/>
      <c r="J126" s="2" t="inlineStr">
        <is>
          <t>Cra 71 # 30A-04</t>
        </is>
      </c>
      <c r="K126" s="6" t="inlineStr">
        <is>
          <t>Por contactar</t>
        </is>
      </c>
      <c r="L126" s="7" t="n"/>
      <c r="M126" s="8">
        <f>IF(L126="","",L126+4)</f>
        <v/>
      </c>
      <c r="N126" s="6" t="n"/>
      <c r="O126" s="9">
        <f>IF(N126="","",INDEX(Planes!$B$4:$B$6,MATCH(N126,Planes!$A$4:$A$6,0)))</f>
        <v/>
      </c>
      <c r="P126" s="6" t="inlineStr">
        <is>
          <t>Llamar (fijo)</t>
        </is>
      </c>
      <c r="Q126" s="6" t="inlineStr"/>
      <c r="R126" s="2" t="inlineStr">
        <is>
          <t>Sin confirmar</t>
        </is>
      </c>
      <c r="S126" s="5">
        <f>HYPERLINK("https://www.informacolombia.com/directorio-empresas/informacion-empresa/hamburguesas-perros-barrio-sas","Ver fuente")</f>
        <v/>
      </c>
    </row>
    <row r="127">
      <c r="A127" s="2" t="n">
        <v>126</v>
      </c>
      <c r="B127" s="11" t="inlineStr">
        <is>
          <t>Baja</t>
        </is>
      </c>
      <c r="C127" s="2" t="inlineStr">
        <is>
          <t>Il Capuccino SAS</t>
        </is>
      </c>
      <c r="D127" s="2" t="inlineStr">
        <is>
          <t>Medellín</t>
        </is>
      </c>
      <c r="E127" s="2" t="inlineStr">
        <is>
          <t>El Poblado</t>
        </is>
      </c>
      <c r="F127" s="2" t="inlineStr">
        <is>
          <t>Restaurante café</t>
        </is>
      </c>
      <c r="G127" s="4" t="inlineStr">
        <is>
          <t>3184218260</t>
        </is>
      </c>
      <c r="H127" s="2">
        <f>IF(G127="","Sin número",IF(LEFT(G127,1)="3","Celular","Fijo"))</f>
        <v/>
      </c>
      <c r="I127" s="5" t="inlineStr">
        <is>
          <t>Abrir chat con mensaje</t>
        </is>
      </c>
      <c r="J127" s="2" t="inlineStr">
        <is>
          <t>Cl 7 # 39-181 L 104</t>
        </is>
      </c>
      <c r="K127" s="6" t="inlineStr">
        <is>
          <t>Por contactar</t>
        </is>
      </c>
      <c r="L127" s="7" t="n"/>
      <c r="M127" s="8">
        <f>IF(L127="","",L127+4)</f>
        <v/>
      </c>
      <c r="N127" s="6" t="n"/>
      <c r="O127" s="9">
        <f>IF(N127="","",INDEX(Planes!$B$4:$B$6,MATCH(N127,Planes!$A$4:$A$6,0)))</f>
        <v/>
      </c>
      <c r="P127" s="6" t="inlineStr">
        <is>
          <t>Enviar mensaje 1</t>
        </is>
      </c>
      <c r="Q127" s="6" t="inlineStr"/>
      <c r="R127" s="2" t="inlineStr">
        <is>
          <t>Sin confirmar</t>
        </is>
      </c>
      <c r="S127" s="5">
        <f>HYPERLINK("https://www.informacolombia.com/directorio-empresas/actividad/5611_EXPENDIO-A-LA-MESA-DE-COMIDAS-PREPARADAS/localidad_medellin?qPg=2","Ver fuente")</f>
        <v/>
      </c>
    </row>
    <row r="128">
      <c r="A128" s="2" t="n">
        <v>127</v>
      </c>
      <c r="B128" s="11" t="inlineStr">
        <is>
          <t>Baja</t>
        </is>
      </c>
      <c r="C128" s="2" t="inlineStr">
        <is>
          <t>Inversiones CRD Poblado SAS</t>
        </is>
      </c>
      <c r="D128" s="2" t="inlineStr">
        <is>
          <t>Medellín</t>
        </is>
      </c>
      <c r="E128" s="2" t="inlineStr">
        <is>
          <t>El Poblado</t>
        </is>
      </c>
      <c r="F128" s="2" t="inlineStr">
        <is>
          <t>Comida rápida (Subway)</t>
        </is>
      </c>
      <c r="G128" s="4" t="inlineStr">
        <is>
          <t>6043227827</t>
        </is>
      </c>
      <c r="H128" s="2">
        <f>IF(G128="","Sin número",IF(LEFT(G128,1)="3","Celular","Fijo"))</f>
        <v/>
      </c>
      <c r="I128" s="5" t="n"/>
      <c r="J128" s="2" t="inlineStr">
        <is>
          <t>Cra 25A # 1-31 Of 1118</t>
        </is>
      </c>
      <c r="K128" s="6" t="inlineStr">
        <is>
          <t>Por contactar</t>
        </is>
      </c>
      <c r="L128" s="7" t="n"/>
      <c r="M128" s="8">
        <f>IF(L128="","",L128+4)</f>
        <v/>
      </c>
      <c r="N128" s="6" t="n"/>
      <c r="O128" s="9">
        <f>IF(N128="","",INDEX(Planes!$B$4:$B$6,MATCH(N128,Planes!$A$4:$A$6,0)))</f>
        <v/>
      </c>
      <c r="P128" s="6" t="inlineStr">
        <is>
          <t>Llamar (fijo)</t>
        </is>
      </c>
      <c r="Q128" s="6" t="inlineStr"/>
      <c r="R128" s="2" t="inlineStr">
        <is>
          <t>Sin confirmar</t>
        </is>
      </c>
      <c r="S128" s="5">
        <f>HYPERLINK("https://www.informacolombia.com/directorio-empresas/informacion-empresa/subway-poblado-sas","Ver fuente")</f>
        <v/>
      </c>
    </row>
    <row r="129">
      <c r="A129" s="2" t="n">
        <v>128</v>
      </c>
      <c r="B129" s="11" t="inlineStr">
        <is>
          <t>Baja</t>
        </is>
      </c>
      <c r="C129" s="2" t="inlineStr">
        <is>
          <t>Inversiones Gastronómicas El Fogonazo SAS</t>
        </is>
      </c>
      <c r="D129" s="2" t="inlineStr">
        <is>
          <t>Medellín</t>
        </is>
      </c>
      <c r="E129" s="2" t="inlineStr">
        <is>
          <t>El Poblado</t>
        </is>
      </c>
      <c r="F129" s="2" t="inlineStr">
        <is>
          <t>Comidas preparadas</t>
        </is>
      </c>
      <c r="G129" s="4" t="inlineStr">
        <is>
          <t>3225529442</t>
        </is>
      </c>
      <c r="H129" s="2">
        <f>IF(G129="","Sin número",IF(LEFT(G129,1)="3","Celular","Fijo"))</f>
        <v/>
      </c>
      <c r="I129" s="5" t="inlineStr">
        <is>
          <t>Abrir chat con mensaje</t>
        </is>
      </c>
      <c r="J129" s="2" t="inlineStr">
        <is>
          <t>Cra 43A # 7 Sur-170 L 4031</t>
        </is>
      </c>
      <c r="K129" s="6" t="inlineStr">
        <is>
          <t>Por contactar</t>
        </is>
      </c>
      <c r="L129" s="7" t="n"/>
      <c r="M129" s="8">
        <f>IF(L129="","",L129+4)</f>
        <v/>
      </c>
      <c r="N129" s="6" t="n"/>
      <c r="O129" s="9">
        <f>IF(N129="","",INDEX(Planes!$B$4:$B$6,MATCH(N129,Planes!$A$4:$A$6,0)))</f>
        <v/>
      </c>
      <c r="P129" s="6" t="inlineStr">
        <is>
          <t>Enviar mensaje 1</t>
        </is>
      </c>
      <c r="Q129" s="6" t="inlineStr"/>
      <c r="R129" s="2" t="inlineStr">
        <is>
          <t>Sin confirmar</t>
        </is>
      </c>
      <c r="S129" s="5">
        <f>HYPERLINK("https://directorio-empresas.einforma.co/informacion-empresa/inversiones-gastronomicas-fogonazo-sas","Ver fuente")</f>
        <v/>
      </c>
    </row>
    <row r="130">
      <c r="A130" s="2" t="n">
        <v>129</v>
      </c>
      <c r="B130" s="11" t="inlineStr">
        <is>
          <t>Baja</t>
        </is>
      </c>
      <c r="C130" s="2" t="inlineStr">
        <is>
          <t>Inversiones Parrilla y Mar SAS</t>
        </is>
      </c>
      <c r="D130" s="2" t="inlineStr">
        <is>
          <t>Medellín</t>
        </is>
      </c>
      <c r="E130" s="2" t="inlineStr"/>
      <c r="F130" s="2" t="inlineStr">
        <is>
          <t>Parrilla / mar</t>
        </is>
      </c>
      <c r="G130" s="4" t="inlineStr">
        <is>
          <t>6045056135</t>
        </is>
      </c>
      <c r="H130" s="2">
        <f>IF(G130="","Sin número",IF(LEFT(G130,1)="3","Celular","Fijo"))</f>
        <v/>
      </c>
      <c r="I130" s="5" t="n"/>
      <c r="J130" s="2" t="inlineStr">
        <is>
          <t>Cl 73 # 51D-71 L 2131</t>
        </is>
      </c>
      <c r="K130" s="6" t="inlineStr">
        <is>
          <t>Por contactar</t>
        </is>
      </c>
      <c r="L130" s="7" t="n"/>
      <c r="M130" s="8">
        <f>IF(L130="","",L130+4)</f>
        <v/>
      </c>
      <c r="N130" s="6" t="n"/>
      <c r="O130" s="9">
        <f>IF(N130="","",INDEX(Planes!$B$4:$B$6,MATCH(N130,Planes!$A$4:$A$6,0)))</f>
        <v/>
      </c>
      <c r="P130" s="6" t="inlineStr">
        <is>
          <t>Llamar (fijo)</t>
        </is>
      </c>
      <c r="Q130" s="6" t="inlineStr"/>
      <c r="R130" s="2" t="inlineStr">
        <is>
          <t>Sin confirmar</t>
        </is>
      </c>
      <c r="S130" s="5">
        <f>HYPERLINK("https://directorio-empresas.einforma.co/informacion-empresa/inversiones-parilla-mar-sas","Ver fuente")</f>
        <v/>
      </c>
    </row>
    <row r="131">
      <c r="A131" s="2" t="n">
        <v>130</v>
      </c>
      <c r="B131" s="11" t="inlineStr">
        <is>
          <t>Baja</t>
        </is>
      </c>
      <c r="C131" s="2" t="inlineStr">
        <is>
          <t>Inversiones Sushi Train SAS</t>
        </is>
      </c>
      <c r="D131" s="2" t="inlineStr">
        <is>
          <t>Medellín</t>
        </is>
      </c>
      <c r="E131" s="2" t="inlineStr">
        <is>
          <t>El Poblado</t>
        </is>
      </c>
      <c r="F131" s="2" t="inlineStr">
        <is>
          <t>Sushi</t>
        </is>
      </c>
      <c r="G131" s="4" t="inlineStr">
        <is>
          <t>6042668447</t>
        </is>
      </c>
      <c r="H131" s="2">
        <f>IF(G131="","Sin número",IF(LEFT(G131,1)="3","Celular","Fijo"))</f>
        <v/>
      </c>
      <c r="I131" s="5" t="n"/>
      <c r="J131" s="2" t="inlineStr">
        <is>
          <t>Cl 10A # 34-11 Int 1003</t>
        </is>
      </c>
      <c r="K131" s="6" t="inlineStr">
        <is>
          <t>Por contactar</t>
        </is>
      </c>
      <c r="L131" s="7" t="n"/>
      <c r="M131" s="8">
        <f>IF(L131="","",L131+4)</f>
        <v/>
      </c>
      <c r="N131" s="6" t="n"/>
      <c r="O131" s="9">
        <f>IF(N131="","",INDEX(Planes!$B$4:$B$6,MATCH(N131,Planes!$A$4:$A$6,0)))</f>
        <v/>
      </c>
      <c r="P131" s="6" t="inlineStr">
        <is>
          <t>Llamar (fijo)</t>
        </is>
      </c>
      <c r="Q131" s="6" t="inlineStr"/>
      <c r="R131" s="2" t="inlineStr">
        <is>
          <t>Sin confirmar</t>
        </is>
      </c>
      <c r="S131" s="5">
        <f>HYPERLINK("https://www.informacolombia.com/directorio-empresas/informacion-empresa/inversiones-sushi-train-sas","Ver fuente")</f>
        <v/>
      </c>
    </row>
    <row r="132">
      <c r="A132" s="2" t="n">
        <v>131</v>
      </c>
      <c r="B132" s="11" t="inlineStr">
        <is>
          <t>Baja</t>
        </is>
      </c>
      <c r="C132" s="2" t="inlineStr">
        <is>
          <t>La Gallinita Aranjuez SAS</t>
        </is>
      </c>
      <c r="D132" s="2" t="inlineStr">
        <is>
          <t>Medellín</t>
        </is>
      </c>
      <c r="E132" s="2" t="inlineStr">
        <is>
          <t>Aranjuez</t>
        </is>
      </c>
      <c r="F132" s="2" t="inlineStr">
        <is>
          <t>Asadero (por confirmar)</t>
        </is>
      </c>
      <c r="G132" s="4" t="inlineStr">
        <is>
          <t>3188256809</t>
        </is>
      </c>
      <c r="H132" s="2">
        <f>IF(G132="","Sin número",IF(LEFT(G132,1)="3","Celular","Fijo"))</f>
        <v/>
      </c>
      <c r="I132" s="5" t="inlineStr">
        <is>
          <t>Abrir chat con mensaje</t>
        </is>
      </c>
      <c r="J132" s="2" t="inlineStr">
        <is>
          <t>Cra 48 # 93-97</t>
        </is>
      </c>
      <c r="K132" s="6" t="inlineStr">
        <is>
          <t>Por contactar</t>
        </is>
      </c>
      <c r="L132" s="7" t="n"/>
      <c r="M132" s="8">
        <f>IF(L132="","",L132+4)</f>
        <v/>
      </c>
      <c r="N132" s="6" t="n"/>
      <c r="O132" s="9">
        <f>IF(N132="","",INDEX(Planes!$B$4:$B$6,MATCH(N132,Planes!$A$4:$A$6,0)))</f>
        <v/>
      </c>
      <c r="P132" s="6" t="inlineStr">
        <is>
          <t>Enviar mensaje 1</t>
        </is>
      </c>
      <c r="Q132" s="6" t="inlineStr"/>
      <c r="R132" s="2" t="inlineStr">
        <is>
          <t>Sin confirmar</t>
        </is>
      </c>
      <c r="S132" s="5">
        <f>HYPERLINK("https://www.informacolombia.com/directorio-empresas/informacion-empresa/distribuidora-gas-antioquia-aranjuez-sas","Ver fuente")</f>
        <v/>
      </c>
    </row>
    <row r="133">
      <c r="A133" s="2" t="n">
        <v>132</v>
      </c>
      <c r="B133" s="11" t="inlineStr">
        <is>
          <t>Baja</t>
        </is>
      </c>
      <c r="C133" s="2" t="inlineStr">
        <is>
          <t>La Oculta Medellín SAS</t>
        </is>
      </c>
      <c r="D133" s="2" t="inlineStr">
        <is>
          <t>Medellín</t>
        </is>
      </c>
      <c r="E133" s="2" t="inlineStr"/>
      <c r="F133" s="2" t="inlineStr">
        <is>
          <t>Restaurante (por confirmar)</t>
        </is>
      </c>
      <c r="G133" s="4" t="inlineStr">
        <is>
          <t>3015194439</t>
        </is>
      </c>
      <c r="H133" s="2">
        <f>IF(G133="","Sin número",IF(LEFT(G133,1)="3","Celular","Fijo"))</f>
        <v/>
      </c>
      <c r="I133" s="5" t="inlineStr">
        <is>
          <t>Abrir chat con mensaje</t>
        </is>
      </c>
      <c r="J133" s="2" t="inlineStr"/>
      <c r="K133" s="6" t="inlineStr">
        <is>
          <t>Por contactar</t>
        </is>
      </c>
      <c r="L133" s="7" t="n"/>
      <c r="M133" s="8">
        <f>IF(L133="","",L133+4)</f>
        <v/>
      </c>
      <c r="N133" s="6" t="n"/>
      <c r="O133" s="9">
        <f>IF(N133="","",INDEX(Planes!$B$4:$B$6,MATCH(N133,Planes!$A$4:$A$6,0)))</f>
        <v/>
      </c>
      <c r="P133" s="6" t="inlineStr">
        <is>
          <t>Enviar mensaje 1</t>
        </is>
      </c>
      <c r="Q133" s="6" t="inlineStr"/>
      <c r="R133" s="2" t="inlineStr">
        <is>
          <t>Sin confirmar</t>
        </is>
      </c>
      <c r="S133" s="5">
        <f>HYPERLINK("https://www.informacolombia.com/directorio-empresas/informacion-empresa/oculta-medellin-sas","Ver fuente")</f>
        <v/>
      </c>
    </row>
    <row r="134">
      <c r="A134" s="2" t="n">
        <v>133</v>
      </c>
      <c r="B134" s="11" t="inlineStr">
        <is>
          <t>Baja</t>
        </is>
      </c>
      <c r="C134" s="2" t="inlineStr">
        <is>
          <t>Las 3P Italianas SAS</t>
        </is>
      </c>
      <c r="D134" s="2" t="inlineStr">
        <is>
          <t>Medellín</t>
        </is>
      </c>
      <c r="E134" s="2" t="inlineStr"/>
      <c r="F134" s="2" t="inlineStr">
        <is>
          <t>Restaurante italiano</t>
        </is>
      </c>
      <c r="G134" s="4" t="inlineStr">
        <is>
          <t>6044482874</t>
        </is>
      </c>
      <c r="H134" s="2">
        <f>IF(G134="","Sin número",IF(LEFT(G134,1)="3","Celular","Fijo"))</f>
        <v/>
      </c>
      <c r="I134" s="5" t="n"/>
      <c r="J134" s="2" t="inlineStr">
        <is>
          <t>Cra 78 # 45E-61</t>
        </is>
      </c>
      <c r="K134" s="6" t="inlineStr">
        <is>
          <t>Por contactar</t>
        </is>
      </c>
      <c r="L134" s="7" t="n"/>
      <c r="M134" s="8">
        <f>IF(L134="","",L134+4)</f>
        <v/>
      </c>
      <c r="N134" s="6" t="n"/>
      <c r="O134" s="9">
        <f>IF(N134="","",INDEX(Planes!$B$4:$B$6,MATCH(N134,Planes!$A$4:$A$6,0)))</f>
        <v/>
      </c>
      <c r="P134" s="6" t="inlineStr">
        <is>
          <t>Llamar (fijo)</t>
        </is>
      </c>
      <c r="Q134" s="6" t="inlineStr"/>
      <c r="R134" s="2" t="inlineStr">
        <is>
          <t>Sin confirmar</t>
        </is>
      </c>
      <c r="S134" s="5">
        <f>HYPERLINK("https://www.informacolombia.com/directorio-empresas/informacion-empresa/3p-italianas-sas","Ver fuente")</f>
        <v/>
      </c>
    </row>
    <row r="135">
      <c r="A135" s="2" t="n">
        <v>134</v>
      </c>
      <c r="B135" s="11" t="inlineStr">
        <is>
          <t>Baja</t>
        </is>
      </c>
      <c r="C135" s="2" t="inlineStr">
        <is>
          <t>Las Tres SAS</t>
        </is>
      </c>
      <c r="D135" s="2" t="inlineStr">
        <is>
          <t>Medellín</t>
        </is>
      </c>
      <c r="E135" s="2" t="inlineStr"/>
      <c r="F135" s="2" t="inlineStr">
        <is>
          <t>Cafetería</t>
        </is>
      </c>
      <c r="G135" s="4" t="inlineStr">
        <is>
          <t>6044485003</t>
        </is>
      </c>
      <c r="H135" s="2">
        <f>IF(G135="","Sin número",IF(LEFT(G135,1)="3","Celular","Fijo"))</f>
        <v/>
      </c>
      <c r="I135" s="5" t="n"/>
      <c r="J135" s="2" t="inlineStr">
        <is>
          <t>Cl 17A Sur # 44-148</t>
        </is>
      </c>
      <c r="K135" s="6" t="inlineStr">
        <is>
          <t>Por contactar</t>
        </is>
      </c>
      <c r="L135" s="7" t="n"/>
      <c r="M135" s="8">
        <f>IF(L135="","",L135+4)</f>
        <v/>
      </c>
      <c r="N135" s="6" t="n"/>
      <c r="O135" s="9">
        <f>IF(N135="","",INDEX(Planes!$B$4:$B$6,MATCH(N135,Planes!$A$4:$A$6,0)))</f>
        <v/>
      </c>
      <c r="P135" s="6" t="inlineStr">
        <is>
          <t>Llamar (fijo)</t>
        </is>
      </c>
      <c r="Q135" s="6" t="inlineStr"/>
      <c r="R135" s="2" t="inlineStr">
        <is>
          <t>Sin confirmar</t>
        </is>
      </c>
      <c r="S135" s="5">
        <f>HYPERLINK("https://directorio-empresas.einforma.co/informacion-empresa/tres-sas","Ver fuente")</f>
        <v/>
      </c>
    </row>
    <row r="136">
      <c r="A136" s="2" t="n">
        <v>135</v>
      </c>
      <c r="B136" s="11" t="inlineStr">
        <is>
          <t>Baja</t>
        </is>
      </c>
      <c r="C136" s="2" t="inlineStr">
        <is>
          <t>Laupa SAS</t>
        </is>
      </c>
      <c r="D136" s="2" t="inlineStr">
        <is>
          <t>Medellín</t>
        </is>
      </c>
      <c r="E136" s="2" t="inlineStr"/>
      <c r="F136" s="2" t="inlineStr">
        <is>
          <t>Restaurante</t>
        </is>
      </c>
      <c r="G136" s="4" t="inlineStr">
        <is>
          <t>6044804460</t>
        </is>
      </c>
      <c r="H136" s="2">
        <f>IF(G136="","Sin número",IF(LEFT(G136,1)="3","Celular","Fijo"))</f>
        <v/>
      </c>
      <c r="I136" s="5" t="n"/>
      <c r="J136" s="2" t="inlineStr"/>
      <c r="K136" s="6" t="inlineStr">
        <is>
          <t>Por contactar</t>
        </is>
      </c>
      <c r="L136" s="7" t="n"/>
      <c r="M136" s="8">
        <f>IF(L136="","",L136+4)</f>
        <v/>
      </c>
      <c r="N136" s="6" t="n"/>
      <c r="O136" s="9">
        <f>IF(N136="","",INDEX(Planes!$B$4:$B$6,MATCH(N136,Planes!$A$4:$A$6,0)))</f>
        <v/>
      </c>
      <c r="P136" s="6" t="inlineStr">
        <is>
          <t>Llamar (fijo)</t>
        </is>
      </c>
      <c r="Q136" s="6" t="inlineStr"/>
      <c r="R136" s="2" t="inlineStr">
        <is>
          <t>Sin confirmar</t>
        </is>
      </c>
      <c r="S136" s="5">
        <f>HYPERLINK("https://www.informacolombia.com/directorio-empresas/actividad/5611_EXPENDIO-A-LA-MESA-DE-COMIDAS-PREPARADAS?qPg=17","Ver fuente")</f>
        <v/>
      </c>
    </row>
    <row r="137">
      <c r="A137" s="2" t="n">
        <v>136</v>
      </c>
      <c r="B137" s="11" t="inlineStr">
        <is>
          <t>Baja</t>
        </is>
      </c>
      <c r="C137" s="2" t="inlineStr">
        <is>
          <t>Laureles Peruano SAS</t>
        </is>
      </c>
      <c r="D137" s="2" t="inlineStr">
        <is>
          <t>Medellín</t>
        </is>
      </c>
      <c r="E137" s="2" t="inlineStr">
        <is>
          <t>Laureles</t>
        </is>
      </c>
      <c r="F137" s="2" t="inlineStr">
        <is>
          <t>Restaurante peruano</t>
        </is>
      </c>
      <c r="G137" s="4" t="inlineStr">
        <is>
          <t>6043225142</t>
        </is>
      </c>
      <c r="H137" s="2">
        <f>IF(G137="","Sin número",IF(LEFT(G137,1)="3","Celular","Fijo"))</f>
        <v/>
      </c>
      <c r="I137" s="5" t="n"/>
      <c r="J137" s="2" t="inlineStr">
        <is>
          <t>Cl 39D # 74-62</t>
        </is>
      </c>
      <c r="K137" s="6" t="inlineStr">
        <is>
          <t>Por contactar</t>
        </is>
      </c>
      <c r="L137" s="7" t="n"/>
      <c r="M137" s="8">
        <f>IF(L137="","",L137+4)</f>
        <v/>
      </c>
      <c r="N137" s="6" t="n"/>
      <c r="O137" s="9">
        <f>IF(N137="","",INDEX(Planes!$B$4:$B$6,MATCH(N137,Planes!$A$4:$A$6,0)))</f>
        <v/>
      </c>
      <c r="P137" s="6" t="inlineStr">
        <is>
          <t>Llamar (fijo)</t>
        </is>
      </c>
      <c r="Q137" s="6" t="inlineStr"/>
      <c r="R137" s="2" t="inlineStr">
        <is>
          <t>Sin confirmar</t>
        </is>
      </c>
      <c r="S137" s="5">
        <f>HYPERLINK("https://www.informacolombia.com/directorio-empresas/informacion-empresa/laureles-peruano-sas","Ver fuente")</f>
        <v/>
      </c>
    </row>
    <row r="138">
      <c r="A138" s="2" t="n">
        <v>137</v>
      </c>
      <c r="B138" s="11" t="inlineStr">
        <is>
          <t>Baja</t>
        </is>
      </c>
      <c r="C138" s="2" t="inlineStr">
        <is>
          <t>Living Restaurantes SAS</t>
        </is>
      </c>
      <c r="D138" s="2" t="inlineStr">
        <is>
          <t>Medellín</t>
        </is>
      </c>
      <c r="E138" s="2" t="inlineStr"/>
      <c r="F138" s="2" t="inlineStr">
        <is>
          <t>Restaurante</t>
        </is>
      </c>
      <c r="G138" s="4" t="inlineStr">
        <is>
          <t>6044483260</t>
        </is>
      </c>
      <c r="H138" s="2">
        <f>IF(G138="","Sin número",IF(LEFT(G138,1)="3","Celular","Fijo"))</f>
        <v/>
      </c>
      <c r="I138" s="5" t="n"/>
      <c r="J138" s="2" t="inlineStr"/>
      <c r="K138" s="6" t="inlineStr">
        <is>
          <t>Por contactar</t>
        </is>
      </c>
      <c r="L138" s="7" t="n"/>
      <c r="M138" s="8">
        <f>IF(L138="","",L138+4)</f>
        <v/>
      </c>
      <c r="N138" s="6" t="n"/>
      <c r="O138" s="9">
        <f>IF(N138="","",INDEX(Planes!$B$4:$B$6,MATCH(N138,Planes!$A$4:$A$6,0)))</f>
        <v/>
      </c>
      <c r="P138" s="6" t="inlineStr">
        <is>
          <t>Llamar (fijo)</t>
        </is>
      </c>
      <c r="Q138" s="6" t="inlineStr"/>
      <c r="R138" s="2" t="inlineStr">
        <is>
          <t>Sin confirmar</t>
        </is>
      </c>
      <c r="S138" s="5">
        <f>HYPERLINK("https://www.informacolombia.com/directorio-empresas/actividad/5611_EXPENDIO-A-LA-MESA-DE-COMIDAS-PREPARADAS/localidad_medellin?qPg=2","Ver fuente")</f>
        <v/>
      </c>
    </row>
    <row r="139">
      <c r="A139" s="2" t="n">
        <v>138</v>
      </c>
      <c r="B139" s="11" t="inlineStr">
        <is>
          <t>Baja</t>
        </is>
      </c>
      <c r="C139" s="2" t="inlineStr">
        <is>
          <t>Los Mal Sentados SAS</t>
        </is>
      </c>
      <c r="D139" s="2" t="inlineStr">
        <is>
          <t>Medellín</t>
        </is>
      </c>
      <c r="E139" s="2" t="inlineStr"/>
      <c r="F139" s="2" t="inlineStr">
        <is>
          <t>Restaurante</t>
        </is>
      </c>
      <c r="G139" s="4" t="inlineStr">
        <is>
          <t>6043116199</t>
        </is>
      </c>
      <c r="H139" s="2">
        <f>IF(G139="","Sin número",IF(LEFT(G139,1)="3","Celular","Fijo"))</f>
        <v/>
      </c>
      <c r="I139" s="5" t="n"/>
      <c r="J139" s="2" t="inlineStr">
        <is>
          <t>Cra 36 # 10B-26</t>
        </is>
      </c>
      <c r="K139" s="6" t="inlineStr">
        <is>
          <t>Por contactar</t>
        </is>
      </c>
      <c r="L139" s="7" t="n"/>
      <c r="M139" s="8">
        <f>IF(L139="","",L139+4)</f>
        <v/>
      </c>
      <c r="N139" s="6" t="n"/>
      <c r="O139" s="9">
        <f>IF(N139="","",INDEX(Planes!$B$4:$B$6,MATCH(N139,Planes!$A$4:$A$6,0)))</f>
        <v/>
      </c>
      <c r="P139" s="6" t="inlineStr">
        <is>
          <t>Llamar (fijo)</t>
        </is>
      </c>
      <c r="Q139" s="6" t="inlineStr"/>
      <c r="R139" s="2" t="inlineStr">
        <is>
          <t>Sin confirmar</t>
        </is>
      </c>
      <c r="S139" s="5">
        <f>HYPERLINK("https://directorio-empresas.einforma.co/informacion-empresa/mal-sentados-sas","Ver fuente")</f>
        <v/>
      </c>
    </row>
    <row r="140">
      <c r="A140" s="2" t="n">
        <v>139</v>
      </c>
      <c r="B140" s="11" t="inlineStr">
        <is>
          <t>Baja</t>
        </is>
      </c>
      <c r="C140" s="2" t="inlineStr">
        <is>
          <t>Medellín 777 SAS</t>
        </is>
      </c>
      <c r="D140" s="2" t="inlineStr">
        <is>
          <t>Medellín</t>
        </is>
      </c>
      <c r="E140" s="2" t="inlineStr"/>
      <c r="F140" s="2" t="inlineStr">
        <is>
          <t>Comidas preparadas</t>
        </is>
      </c>
      <c r="G140" s="4" t="inlineStr">
        <is>
          <t>3017809516</t>
        </is>
      </c>
      <c r="H140" s="2">
        <f>IF(G140="","Sin número",IF(LEFT(G140,1)="3","Celular","Fijo"))</f>
        <v/>
      </c>
      <c r="I140" s="5" t="inlineStr">
        <is>
          <t>Abrir chat con mensaje</t>
        </is>
      </c>
      <c r="J140" s="2" t="inlineStr">
        <is>
          <t>Cra 29 # 16-201</t>
        </is>
      </c>
      <c r="K140" s="6" t="inlineStr">
        <is>
          <t>Por contactar</t>
        </is>
      </c>
      <c r="L140" s="7" t="n"/>
      <c r="M140" s="8">
        <f>IF(L140="","",L140+4)</f>
        <v/>
      </c>
      <c r="N140" s="6" t="n"/>
      <c r="O140" s="9">
        <f>IF(N140="","",INDEX(Planes!$B$4:$B$6,MATCH(N140,Planes!$A$4:$A$6,0)))</f>
        <v/>
      </c>
      <c r="P140" s="6" t="inlineStr">
        <is>
          <t>Enviar mensaje 1</t>
        </is>
      </c>
      <c r="Q140" s="6" t="inlineStr"/>
      <c r="R140" s="2" t="inlineStr">
        <is>
          <t>Sin confirmar</t>
        </is>
      </c>
      <c r="S140" s="5">
        <f>HYPERLINK("https://www.informacolombia.com/directorio-empresas/informacion-empresa/medellin-777-sas","Ver fuente")</f>
        <v/>
      </c>
    </row>
    <row r="141">
      <c r="A141" s="2" t="n">
        <v>140</v>
      </c>
      <c r="B141" s="11" t="inlineStr">
        <is>
          <t>Baja</t>
        </is>
      </c>
      <c r="C141" s="2" t="inlineStr">
        <is>
          <t>Mojitos Restaurant Bar SAS</t>
        </is>
      </c>
      <c r="D141" s="2" t="inlineStr">
        <is>
          <t>Medellín</t>
        </is>
      </c>
      <c r="E141" s="2" t="inlineStr"/>
      <c r="F141" s="2" t="inlineStr">
        <is>
          <t>Restaurante bar</t>
        </is>
      </c>
      <c r="G141" s="4" t="inlineStr">
        <is>
          <t>3117496151</t>
        </is>
      </c>
      <c r="H141" s="2">
        <f>IF(G141="","Sin número",IF(LEFT(G141,1)="3","Celular","Fijo"))</f>
        <v/>
      </c>
      <c r="I141" s="5" t="inlineStr">
        <is>
          <t>Abrir chat con mensaje</t>
        </is>
      </c>
      <c r="J141" s="2" t="inlineStr"/>
      <c r="K141" s="6" t="inlineStr">
        <is>
          <t>Por contactar</t>
        </is>
      </c>
      <c r="L141" s="7" t="n"/>
      <c r="M141" s="8">
        <f>IF(L141="","",L141+4)</f>
        <v/>
      </c>
      <c r="N141" s="6" t="n"/>
      <c r="O141" s="9">
        <f>IF(N141="","",INDEX(Planes!$B$4:$B$6,MATCH(N141,Planes!$A$4:$A$6,0)))</f>
        <v/>
      </c>
      <c r="P141" s="6" t="inlineStr">
        <is>
          <t>Enviar mensaje 1</t>
        </is>
      </c>
      <c r="Q141" s="6" t="inlineStr"/>
      <c r="R141" s="2" t="inlineStr">
        <is>
          <t>Sin confirmar</t>
        </is>
      </c>
      <c r="S141" s="5">
        <f>HYPERLINK("https://www.informacolombia.com/directorio-empresas/actividad/5611_EXPENDIO-A-LA-MESA-DE-COMIDAS-PREPARADAS/localidad_medellin?qPg=2","Ver fuente")</f>
        <v/>
      </c>
    </row>
    <row r="142">
      <c r="A142" s="2" t="n">
        <v>141</v>
      </c>
      <c r="B142" s="11" t="inlineStr">
        <is>
          <t>Baja</t>
        </is>
      </c>
      <c r="C142" s="2" t="inlineStr">
        <is>
          <t>Molido Café y Pan SAS</t>
        </is>
      </c>
      <c r="D142" s="2" t="inlineStr">
        <is>
          <t>Medellín</t>
        </is>
      </c>
      <c r="E142" s="2" t="inlineStr"/>
      <c r="F142" s="2" t="inlineStr">
        <is>
          <t>Café / panadería</t>
        </is>
      </c>
      <c r="G142" s="4" t="inlineStr">
        <is>
          <t>3507750139</t>
        </is>
      </c>
      <c r="H142" s="2">
        <f>IF(G142="","Sin número",IF(LEFT(G142,1)="3","Celular","Fijo"))</f>
        <v/>
      </c>
      <c r="I142" s="5" t="inlineStr">
        <is>
          <t>Abrir chat con mensaje</t>
        </is>
      </c>
      <c r="J142" s="2" t="inlineStr"/>
      <c r="K142" s="6" t="inlineStr">
        <is>
          <t>Por contactar</t>
        </is>
      </c>
      <c r="L142" s="7" t="n"/>
      <c r="M142" s="8">
        <f>IF(L142="","",L142+4)</f>
        <v/>
      </c>
      <c r="N142" s="6" t="n"/>
      <c r="O142" s="9">
        <f>IF(N142="","",INDEX(Planes!$B$4:$B$6,MATCH(N142,Planes!$A$4:$A$6,0)))</f>
        <v/>
      </c>
      <c r="P142" s="6" t="inlineStr">
        <is>
          <t>Enviar mensaje 1</t>
        </is>
      </c>
      <c r="Q142" s="6" t="inlineStr"/>
      <c r="R142" s="2" t="inlineStr">
        <is>
          <t>Sin confirmar</t>
        </is>
      </c>
      <c r="S142" s="5">
        <f>HYPERLINK("https://www.informacolombia.com/directorio-empresas/informacion-empresa/molido-cafe-pan-sas","Ver fuente")</f>
        <v/>
      </c>
    </row>
    <row r="143">
      <c r="A143" s="2" t="n">
        <v>142</v>
      </c>
      <c r="B143" s="11" t="inlineStr">
        <is>
          <t>Baja</t>
        </is>
      </c>
      <c r="C143" s="2" t="inlineStr">
        <is>
          <t>Mundo Verde Salud Gourmet SAS</t>
        </is>
      </c>
      <c r="D143" s="2" t="inlineStr">
        <is>
          <t>Medellín</t>
        </is>
      </c>
      <c r="E143" s="2" t="inlineStr">
        <is>
          <t>El Poblado</t>
        </is>
      </c>
      <c r="F143" s="2" t="inlineStr">
        <is>
          <t>Restaurante saludable</t>
        </is>
      </c>
      <c r="G143" s="4" t="inlineStr">
        <is>
          <t>6044441838</t>
        </is>
      </c>
      <c r="H143" s="2">
        <f>IF(G143="","Sin número",IF(LEFT(G143,1)="3","Celular","Fijo"))</f>
        <v/>
      </c>
      <c r="I143" s="5" t="n"/>
      <c r="J143" s="2" t="inlineStr">
        <is>
          <t>Cra 43A # 1A Sur-29</t>
        </is>
      </c>
      <c r="K143" s="6" t="inlineStr">
        <is>
          <t>Por contactar</t>
        </is>
      </c>
      <c r="L143" s="7" t="n"/>
      <c r="M143" s="8">
        <f>IF(L143="","",L143+4)</f>
        <v/>
      </c>
      <c r="N143" s="6" t="n"/>
      <c r="O143" s="9">
        <f>IF(N143="","",INDEX(Planes!$B$4:$B$6,MATCH(N143,Planes!$A$4:$A$6,0)))</f>
        <v/>
      </c>
      <c r="P143" s="6" t="inlineStr">
        <is>
          <t>Llamar (fijo)</t>
        </is>
      </c>
      <c r="Q143" s="6" t="inlineStr"/>
      <c r="R143" s="2" t="inlineStr">
        <is>
          <t>Sin confirmar</t>
        </is>
      </c>
      <c r="S143" s="5">
        <f>HYPERLINK("https://directorio-empresas.einforma.co/informacion-empresa/mundo-verde-salud-gourmet-sa","Ver fuente")</f>
        <v/>
      </c>
    </row>
    <row r="144">
      <c r="A144" s="2" t="n">
        <v>143</v>
      </c>
      <c r="B144" s="11" t="inlineStr">
        <is>
          <t>Baja</t>
        </is>
      </c>
      <c r="C144" s="2" t="inlineStr">
        <is>
          <t>Nutriendo Almas SAS</t>
        </is>
      </c>
      <c r="D144" s="2" t="inlineStr">
        <is>
          <t>Medellín</t>
        </is>
      </c>
      <c r="E144" s="2" t="inlineStr"/>
      <c r="F144" s="2" t="inlineStr">
        <is>
          <t>Restaurante</t>
        </is>
      </c>
      <c r="G144" s="4" t="inlineStr">
        <is>
          <t>6043012030</t>
        </is>
      </c>
      <c r="H144" s="2">
        <f>IF(G144="","Sin número",IF(LEFT(G144,1)="3","Celular","Fijo"))</f>
        <v/>
      </c>
      <c r="I144" s="5" t="n"/>
      <c r="J144" s="2" t="inlineStr">
        <is>
          <t>Cl 18 # 43A Sur-174</t>
        </is>
      </c>
      <c r="K144" s="6" t="inlineStr">
        <is>
          <t>Por contactar</t>
        </is>
      </c>
      <c r="L144" s="7" t="n"/>
      <c r="M144" s="8">
        <f>IF(L144="","",L144+4)</f>
        <v/>
      </c>
      <c r="N144" s="6" t="n"/>
      <c r="O144" s="9">
        <f>IF(N144="","",INDEX(Planes!$B$4:$B$6,MATCH(N144,Planes!$A$4:$A$6,0)))</f>
        <v/>
      </c>
      <c r="P144" s="6" t="inlineStr">
        <is>
          <t>Llamar (fijo)</t>
        </is>
      </c>
      <c r="Q144" s="6" t="inlineStr"/>
      <c r="R144" s="2" t="inlineStr">
        <is>
          <t>Sin confirmar</t>
        </is>
      </c>
      <c r="S144" s="5">
        <f>HYPERLINK("https://www.informacolombia.com/directorio-empresas/informacion-empresa/nutriendo-almas-sas","Ver fuente")</f>
        <v/>
      </c>
    </row>
    <row r="145">
      <c r="A145" s="2" t="n">
        <v>144</v>
      </c>
      <c r="B145" s="11" t="inlineStr">
        <is>
          <t>Baja</t>
        </is>
      </c>
      <c r="C145" s="2" t="inlineStr">
        <is>
          <t>Oasis Club Café SAS</t>
        </is>
      </c>
      <c r="D145" s="2" t="inlineStr">
        <is>
          <t>Medellín</t>
        </is>
      </c>
      <c r="E145" s="2" t="inlineStr"/>
      <c r="F145" s="2" t="inlineStr">
        <is>
          <t>Café</t>
        </is>
      </c>
      <c r="G145" s="4" t="inlineStr">
        <is>
          <t>3054146615</t>
        </is>
      </c>
      <c r="H145" s="2">
        <f>IF(G145="","Sin número",IF(LEFT(G145,1)="3","Celular","Fijo"))</f>
        <v/>
      </c>
      <c r="I145" s="5" t="inlineStr">
        <is>
          <t>Abrir chat con mensaje</t>
        </is>
      </c>
      <c r="J145" s="2" t="inlineStr">
        <is>
          <t>Cra 73 # 74-10</t>
        </is>
      </c>
      <c r="K145" s="6" t="inlineStr">
        <is>
          <t>Por contactar</t>
        </is>
      </c>
      <c r="L145" s="7" t="n"/>
      <c r="M145" s="8">
        <f>IF(L145="","",L145+4)</f>
        <v/>
      </c>
      <c r="N145" s="6" t="n"/>
      <c r="O145" s="9">
        <f>IF(N145="","",INDEX(Planes!$B$4:$B$6,MATCH(N145,Planes!$A$4:$A$6,0)))</f>
        <v/>
      </c>
      <c r="P145" s="6" t="inlineStr">
        <is>
          <t>Enviar mensaje 1</t>
        </is>
      </c>
      <c r="Q145" s="6" t="inlineStr"/>
      <c r="R145" s="2" t="inlineStr">
        <is>
          <t>Sin confirmar</t>
        </is>
      </c>
      <c r="S145" s="5">
        <f>HYPERLINK("https://www.informacolombia.com/directorio-empresas/informacion-empresa/oasis-club-cafe-sas","Ver fuente")</f>
        <v/>
      </c>
    </row>
    <row r="146">
      <c r="A146" s="2" t="n">
        <v>145</v>
      </c>
      <c r="B146" s="11" t="inlineStr">
        <is>
          <t>Baja</t>
        </is>
      </c>
      <c r="C146" s="2" t="inlineStr">
        <is>
          <t>Organización Nueva Aurora SAS</t>
        </is>
      </c>
      <c r="D146" s="2" t="inlineStr">
        <is>
          <t>Medellín</t>
        </is>
      </c>
      <c r="E146" s="2" t="inlineStr"/>
      <c r="F146" s="2" t="inlineStr">
        <is>
          <t>Comidas (por confirmar)</t>
        </is>
      </c>
      <c r="G146" s="4" t="inlineStr">
        <is>
          <t>6044444478</t>
        </is>
      </c>
      <c r="H146" s="2">
        <f>IF(G146="","Sin número",IF(LEFT(G146,1)="3","Celular","Fijo"))</f>
        <v/>
      </c>
      <c r="I146" s="5" t="n"/>
      <c r="J146" s="2" t="inlineStr"/>
      <c r="K146" s="6" t="inlineStr">
        <is>
          <t>Por contactar</t>
        </is>
      </c>
      <c r="L146" s="7" t="n"/>
      <c r="M146" s="8">
        <f>IF(L146="","",L146+4)</f>
        <v/>
      </c>
      <c r="N146" s="6" t="n"/>
      <c r="O146" s="9">
        <f>IF(N146="","",INDEX(Planes!$B$4:$B$6,MATCH(N146,Planes!$A$4:$A$6,0)))</f>
        <v/>
      </c>
      <c r="P146" s="6" t="inlineStr">
        <is>
          <t>Llamar (fijo)</t>
        </is>
      </c>
      <c r="Q146" s="6" t="inlineStr"/>
      <c r="R146" s="2" t="inlineStr">
        <is>
          <t>Sin confirmar</t>
        </is>
      </c>
      <c r="S146" s="5">
        <f>HYPERLINK("https://www.informacolombia.com/directorio-empresas/actividad/5619_OTROS-TIPOS-DE-EXPENDIO-DE-COMIDAS-PREPARADAS-N-C-P/localidad_medellin","Ver fuente")</f>
        <v/>
      </c>
    </row>
    <row r="147">
      <c r="A147" s="2" t="n">
        <v>146</v>
      </c>
      <c r="B147" s="11" t="inlineStr">
        <is>
          <t>Baja</t>
        </is>
      </c>
      <c r="C147" s="2" t="inlineStr">
        <is>
          <t>Pizza Americana SAS</t>
        </is>
      </c>
      <c r="D147" s="2" t="inlineStr">
        <is>
          <t>Medellín</t>
        </is>
      </c>
      <c r="E147" s="2" t="inlineStr"/>
      <c r="F147" s="2" t="inlineStr">
        <is>
          <t>Pizzería</t>
        </is>
      </c>
      <c r="G147" s="4" t="inlineStr">
        <is>
          <t>6044804669</t>
        </is>
      </c>
      <c r="H147" s="2">
        <f>IF(G147="","Sin número",IF(LEFT(G147,1)="3","Celular","Fijo"))</f>
        <v/>
      </c>
      <c r="I147" s="5" t="n"/>
      <c r="J147" s="2" t="inlineStr">
        <is>
          <t>Cra 48 # 63A-35</t>
        </is>
      </c>
      <c r="K147" s="6" t="inlineStr">
        <is>
          <t>Por contactar</t>
        </is>
      </c>
      <c r="L147" s="7" t="n"/>
      <c r="M147" s="8">
        <f>IF(L147="","",L147+4)</f>
        <v/>
      </c>
      <c r="N147" s="6" t="n"/>
      <c r="O147" s="9">
        <f>IF(N147="","",INDEX(Planes!$B$4:$B$6,MATCH(N147,Planes!$A$4:$A$6,0)))</f>
        <v/>
      </c>
      <c r="P147" s="6" t="inlineStr">
        <is>
          <t>Llamar (fijo)</t>
        </is>
      </c>
      <c r="Q147" s="6" t="inlineStr"/>
      <c r="R147" s="2" t="inlineStr">
        <is>
          <t>Sin confirmar</t>
        </is>
      </c>
      <c r="S147" s="5">
        <f>HYPERLINK("https://www.informacolombia.com/directorio-empresas/informacion-empresa/pizza-americana-sas","Ver fuente")</f>
        <v/>
      </c>
    </row>
    <row r="148">
      <c r="A148" s="2" t="n">
        <v>147</v>
      </c>
      <c r="B148" s="11" t="inlineStr">
        <is>
          <t>Baja</t>
        </is>
      </c>
      <c r="C148" s="2" t="inlineStr">
        <is>
          <t>Rico Pa Llevar SAS</t>
        </is>
      </c>
      <c r="D148" s="2" t="inlineStr">
        <is>
          <t>Medellín</t>
        </is>
      </c>
      <c r="E148" s="2" t="inlineStr">
        <is>
          <t>El Poblado</t>
        </is>
      </c>
      <c r="F148" s="2" t="inlineStr">
        <is>
          <t>Comida para llevar</t>
        </is>
      </c>
      <c r="G148" s="4" t="inlineStr">
        <is>
          <t>6045219703</t>
        </is>
      </c>
      <c r="H148" s="2">
        <f>IF(G148="","Sin número",IF(LEFT(G148,1)="3","Celular","Fijo"))</f>
        <v/>
      </c>
      <c r="I148" s="5" t="n"/>
      <c r="J148" s="2" t="inlineStr">
        <is>
          <t>Cra 43E # 12-16</t>
        </is>
      </c>
      <c r="K148" s="6" t="inlineStr">
        <is>
          <t>Por contactar</t>
        </is>
      </c>
      <c r="L148" s="7" t="n"/>
      <c r="M148" s="8">
        <f>IF(L148="","",L148+4)</f>
        <v/>
      </c>
      <c r="N148" s="6" t="n"/>
      <c r="O148" s="9">
        <f>IF(N148="","",INDEX(Planes!$B$4:$B$6,MATCH(N148,Planes!$A$4:$A$6,0)))</f>
        <v/>
      </c>
      <c r="P148" s="6" t="inlineStr">
        <is>
          <t>Llamar (fijo)</t>
        </is>
      </c>
      <c r="Q148" s="6" t="inlineStr"/>
      <c r="R148" s="2" t="inlineStr">
        <is>
          <t>Sin confirmar</t>
        </is>
      </c>
      <c r="S148" s="5">
        <f>HYPERLINK("https://www.informacolombia.com/directorio-empresas/informacion-empresa/rico-pa-llevar1-sas","Ver fuente")</f>
        <v/>
      </c>
    </row>
    <row r="149">
      <c r="A149" s="2" t="n">
        <v>148</v>
      </c>
      <c r="B149" s="11" t="inlineStr">
        <is>
          <t>Baja</t>
        </is>
      </c>
      <c r="C149" s="2" t="inlineStr">
        <is>
          <t>Roll Company SAS</t>
        </is>
      </c>
      <c r="D149" s="2" t="inlineStr">
        <is>
          <t>Medellín</t>
        </is>
      </c>
      <c r="E149" s="2" t="inlineStr">
        <is>
          <t>Laureles</t>
        </is>
      </c>
      <c r="F149" s="2" t="inlineStr">
        <is>
          <t>Restaurante (sushi por confirmar)</t>
        </is>
      </c>
      <c r="G149" s="4" t="inlineStr">
        <is>
          <t>3104588500</t>
        </is>
      </c>
      <c r="H149" s="2">
        <f>IF(G149="","Sin número",IF(LEFT(G149,1)="3","Celular","Fijo"))</f>
        <v/>
      </c>
      <c r="I149" s="5" t="inlineStr">
        <is>
          <t>Abrir chat con mensaje</t>
        </is>
      </c>
      <c r="J149" s="2" t="inlineStr">
        <is>
          <t>Av 74B # 39B-140</t>
        </is>
      </c>
      <c r="K149" s="6" t="inlineStr">
        <is>
          <t>Por contactar</t>
        </is>
      </c>
      <c r="L149" s="7" t="n"/>
      <c r="M149" s="8">
        <f>IF(L149="","",L149+4)</f>
        <v/>
      </c>
      <c r="N149" s="6" t="n"/>
      <c r="O149" s="9">
        <f>IF(N149="","",INDEX(Planes!$B$4:$B$6,MATCH(N149,Planes!$A$4:$A$6,0)))</f>
        <v/>
      </c>
      <c r="P149" s="6" t="inlineStr">
        <is>
          <t>Enviar mensaje 1</t>
        </is>
      </c>
      <c r="Q149" s="6" t="inlineStr"/>
      <c r="R149" s="2" t="inlineStr">
        <is>
          <t>Sin confirmar</t>
        </is>
      </c>
      <c r="S149" s="5">
        <f>HYPERLINK("https://www.informacolombia.com/directorio-empresas/informacion-empresa/roll-company-sas","Ver fuente")</f>
        <v/>
      </c>
    </row>
    <row r="150">
      <c r="A150" s="2" t="n">
        <v>149</v>
      </c>
      <c r="B150" s="11" t="inlineStr">
        <is>
          <t>Baja</t>
        </is>
      </c>
      <c r="C150" s="2" t="inlineStr">
        <is>
          <t>Sabores de India SAS</t>
        </is>
      </c>
      <c r="D150" s="2" t="inlineStr">
        <is>
          <t>Medellín</t>
        </is>
      </c>
      <c r="E150" s="2" t="inlineStr"/>
      <c r="F150" s="2" t="inlineStr">
        <is>
          <t>Restaurante indio</t>
        </is>
      </c>
      <c r="G150" s="4" t="inlineStr">
        <is>
          <t>6043228781</t>
        </is>
      </c>
      <c r="H150" s="2">
        <f>IF(G150="","Sin número",IF(LEFT(G150,1)="3","Celular","Fijo"))</f>
        <v/>
      </c>
      <c r="I150" s="5" t="n"/>
      <c r="J150" s="2" t="inlineStr"/>
      <c r="K150" s="6" t="inlineStr">
        <is>
          <t>Por contactar</t>
        </is>
      </c>
      <c r="L150" s="7" t="n"/>
      <c r="M150" s="8">
        <f>IF(L150="","",L150+4)</f>
        <v/>
      </c>
      <c r="N150" s="6" t="n"/>
      <c r="O150" s="9">
        <f>IF(N150="","",INDEX(Planes!$B$4:$B$6,MATCH(N150,Planes!$A$4:$A$6,0)))</f>
        <v/>
      </c>
      <c r="P150" s="6" t="inlineStr">
        <is>
          <t>Llamar (fijo)</t>
        </is>
      </c>
      <c r="Q150" s="6" t="inlineStr"/>
      <c r="R150" s="2" t="inlineStr">
        <is>
          <t>Sin confirmar</t>
        </is>
      </c>
      <c r="S150" s="5">
        <f>HYPERLINK("https://www.informacolombia.com/directorio-empresas/actividad/5611_EXPENDIO-A-LA-MESA-DE-COMIDAS-PREPARADAS/localidad_medellin?qPg=2","Ver fuente")</f>
        <v/>
      </c>
    </row>
    <row r="151">
      <c r="A151" s="2" t="n">
        <v>150</v>
      </c>
      <c r="B151" s="11" t="inlineStr">
        <is>
          <t>Baja</t>
        </is>
      </c>
      <c r="C151" s="2" t="inlineStr">
        <is>
          <t>Somos Uno Resto Café SAS</t>
        </is>
      </c>
      <c r="D151" s="2" t="inlineStr">
        <is>
          <t>Medellín</t>
        </is>
      </c>
      <c r="E151" s="2" t="inlineStr"/>
      <c r="F151" s="2" t="inlineStr">
        <is>
          <t>Restaurante café</t>
        </is>
      </c>
      <c r="G151" s="4" t="inlineStr">
        <is>
          <t>6043012030</t>
        </is>
      </c>
      <c r="H151" s="2">
        <f>IF(G151="","Sin número",IF(LEFT(G151,1)="3","Celular","Fijo"))</f>
        <v/>
      </c>
      <c r="I151" s="5" t="n"/>
      <c r="J151" s="2" t="inlineStr"/>
      <c r="K151" s="6" t="inlineStr">
        <is>
          <t>Por contactar</t>
        </is>
      </c>
      <c r="L151" s="7" t="n"/>
      <c r="M151" s="8">
        <f>IF(L151="","",L151+4)</f>
        <v/>
      </c>
      <c r="N151" s="6" t="n"/>
      <c r="O151" s="9">
        <f>IF(N151="","",INDEX(Planes!$B$4:$B$6,MATCH(N151,Planes!$A$4:$A$6,0)))</f>
        <v/>
      </c>
      <c r="P151" s="6" t="inlineStr">
        <is>
          <t>Llamar (fijo)</t>
        </is>
      </c>
      <c r="Q151" s="6" t="inlineStr"/>
      <c r="R151" s="2" t="inlineStr">
        <is>
          <t>Sin confirmar</t>
        </is>
      </c>
      <c r="S151" s="5">
        <f>HYPERLINK("https://www.informacolombia.com/directorio-empresas/informacion-empresa/somos-uno-resto-cafe-sas","Ver fuente")</f>
        <v/>
      </c>
    </row>
    <row r="152">
      <c r="A152" s="2" t="n">
        <v>151</v>
      </c>
      <c r="B152" s="11" t="inlineStr">
        <is>
          <t>Baja</t>
        </is>
      </c>
      <c r="C152" s="2" t="inlineStr">
        <is>
          <t>Toscanna Pizzería SAS</t>
        </is>
      </c>
      <c r="D152" s="2" t="inlineStr">
        <is>
          <t>Medellín</t>
        </is>
      </c>
      <c r="E152" s="2" t="inlineStr">
        <is>
          <t>Laureles</t>
        </is>
      </c>
      <c r="F152" s="2" t="inlineStr">
        <is>
          <t>Pizzería</t>
        </is>
      </c>
      <c r="G152" s="4" t="inlineStr">
        <is>
          <t>6043536605</t>
        </is>
      </c>
      <c r="H152" s="2">
        <f>IF(G152="","Sin número",IF(LEFT(G152,1)="3","Celular","Fijo"))</f>
        <v/>
      </c>
      <c r="I152" s="5" t="n"/>
      <c r="J152" s="2" t="inlineStr">
        <is>
          <t>Circular 70 # 10-01</t>
        </is>
      </c>
      <c r="K152" s="6" t="inlineStr">
        <is>
          <t>Por contactar</t>
        </is>
      </c>
      <c r="L152" s="7" t="n"/>
      <c r="M152" s="8">
        <f>IF(L152="","",L152+4)</f>
        <v/>
      </c>
      <c r="N152" s="6" t="n"/>
      <c r="O152" s="9">
        <f>IF(N152="","",INDEX(Planes!$B$4:$B$6,MATCH(N152,Planes!$A$4:$A$6,0)))</f>
        <v/>
      </c>
      <c r="P152" s="6" t="inlineStr">
        <is>
          <t>Llamar (fijo)</t>
        </is>
      </c>
      <c r="Q152" s="6" t="inlineStr"/>
      <c r="R152" s="2" t="inlineStr">
        <is>
          <t>Sin confirmar</t>
        </is>
      </c>
      <c r="S152" s="5">
        <f>HYPERLINK("https://www.informacolombia.com/directorio-empresas/informacion-empresa/jugosa-ltda","Ver fuente")</f>
        <v/>
      </c>
    </row>
    <row r="153">
      <c r="A153" s="2" t="n">
        <v>152</v>
      </c>
      <c r="B153" s="11" t="inlineStr">
        <is>
          <t>Baja</t>
        </is>
      </c>
      <c r="C153" s="2" t="inlineStr">
        <is>
          <t>Vegan &amp; Veggie SAS</t>
        </is>
      </c>
      <c r="D153" s="2" t="inlineStr">
        <is>
          <t>Medellín</t>
        </is>
      </c>
      <c r="E153" s="2" t="inlineStr">
        <is>
          <t>El Poblado</t>
        </is>
      </c>
      <c r="F153" s="2" t="inlineStr">
        <is>
          <t>Restaurante vegano</t>
        </is>
      </c>
      <c r="G153" s="4" t="inlineStr">
        <is>
          <t>3044315616</t>
        </is>
      </c>
      <c r="H153" s="2">
        <f>IF(G153="","Sin número",IF(LEFT(G153,1)="3","Celular","Fijo"))</f>
        <v/>
      </c>
      <c r="I153" s="5" t="inlineStr">
        <is>
          <t>Abrir chat con mensaje</t>
        </is>
      </c>
      <c r="J153" s="2" t="inlineStr">
        <is>
          <t>Cl 12 # 43D-109</t>
        </is>
      </c>
      <c r="K153" s="6" t="inlineStr">
        <is>
          <t>Por contactar</t>
        </is>
      </c>
      <c r="L153" s="7" t="n"/>
      <c r="M153" s="8">
        <f>IF(L153="","",L153+4)</f>
        <v/>
      </c>
      <c r="N153" s="6" t="n"/>
      <c r="O153" s="9">
        <f>IF(N153="","",INDEX(Planes!$B$4:$B$6,MATCH(N153,Planes!$A$4:$A$6,0)))</f>
        <v/>
      </c>
      <c r="P153" s="6" t="inlineStr">
        <is>
          <t>Enviar mensaje 1</t>
        </is>
      </c>
      <c r="Q153" s="6" t="inlineStr"/>
      <c r="R153" s="2" t="inlineStr">
        <is>
          <t>Sin confirmar</t>
        </is>
      </c>
      <c r="S153" s="5">
        <f>HYPERLINK("https://directorio-empresas.einforma.co/informacion-empresa/vegan-veggie-sas","Ver fuente")</f>
        <v/>
      </c>
    </row>
  </sheetData>
  <autoFilter ref="A1:S153"/>
  <conditionalFormatting sqref="A2:S153">
    <cfRule type="expression" priority="1" dxfId="0">
      <formula>$K2="Cliente"</formula>
    </cfRule>
    <cfRule type="expression" priority="2" dxfId="1">
      <formula>$K2="Demo agendada"</formula>
    </cfRule>
    <cfRule type="expression" priority="3" dxfId="1">
      <formula>$K2="En prueba"</formula>
    </cfRule>
    <cfRule type="expression" priority="4" dxfId="2">
      <formula>$K2="Respondió"</formula>
    </cfRule>
    <cfRule type="expression" priority="5" dxfId="3">
      <formula>$K2="No interesado"</formula>
    </cfRule>
    <cfRule type="expression" priority="6" dxfId="4">
      <formula>$K2="Número errado"</formula>
    </cfRule>
  </conditionalFormatting>
  <conditionalFormatting sqref="M2:M153">
    <cfRule type="expression" priority="7" dxfId="5">
      <formula>AND(M2&lt;&gt;"",M2&lt;=TODAY(),$K2="Mensaje enviado")</formula>
    </cfRule>
  </conditionalFormatting>
  <dataValidations count="3">
    <dataValidation sqref="K2:K153" showDropDown="0" showInputMessage="0" showErrorMessage="0" allowBlank="1" type="list">
      <formula1>"Por contactar,Mensaje enviado,Respondió,Demo agendada,En prueba,Cliente,No interesado,Número errado"</formula1>
    </dataValidation>
    <dataValidation sqref="N2:N153" showDropDown="0" showInputMessage="0" showErrorMessage="0" allowBlank="1" type="list">
      <formula1>"Básico,Avanzado,Premium"</formula1>
    </dataValidation>
    <dataValidation sqref="L2:L153" showDropDown="0" showInputMessage="0" showErrorMessage="0" allowBlank="1" error="Escriba una fecha (dd/mm/aaaa)" type="date" operator="greaterThan">
      <formula1>45658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6" r:id="rId3"/>
    <hyperlink xmlns:r="http://schemas.openxmlformats.org/officeDocument/2006/relationships" ref="I8" r:id="rId4"/>
    <hyperlink xmlns:r="http://schemas.openxmlformats.org/officeDocument/2006/relationships" ref="I10" r:id="rId5"/>
    <hyperlink xmlns:r="http://schemas.openxmlformats.org/officeDocument/2006/relationships" ref="I12" r:id="rId6"/>
    <hyperlink xmlns:r="http://schemas.openxmlformats.org/officeDocument/2006/relationships" ref="I13" r:id="rId7"/>
    <hyperlink xmlns:r="http://schemas.openxmlformats.org/officeDocument/2006/relationships" ref="I14" r:id="rId8"/>
    <hyperlink xmlns:r="http://schemas.openxmlformats.org/officeDocument/2006/relationships" ref="I15" r:id="rId9"/>
    <hyperlink xmlns:r="http://schemas.openxmlformats.org/officeDocument/2006/relationships" ref="I16" r:id="rId10"/>
    <hyperlink xmlns:r="http://schemas.openxmlformats.org/officeDocument/2006/relationships" ref="I17" r:id="rId11"/>
    <hyperlink xmlns:r="http://schemas.openxmlformats.org/officeDocument/2006/relationships" ref="I18" r:id="rId12"/>
    <hyperlink xmlns:r="http://schemas.openxmlformats.org/officeDocument/2006/relationships" ref="I19" r:id="rId13"/>
    <hyperlink xmlns:r="http://schemas.openxmlformats.org/officeDocument/2006/relationships" ref="I20" r:id="rId14"/>
    <hyperlink xmlns:r="http://schemas.openxmlformats.org/officeDocument/2006/relationships" ref="I21" r:id="rId15"/>
    <hyperlink xmlns:r="http://schemas.openxmlformats.org/officeDocument/2006/relationships" ref="I22" r:id="rId16"/>
    <hyperlink xmlns:r="http://schemas.openxmlformats.org/officeDocument/2006/relationships" ref="I23" r:id="rId17"/>
    <hyperlink xmlns:r="http://schemas.openxmlformats.org/officeDocument/2006/relationships" ref="I24" r:id="rId18"/>
    <hyperlink xmlns:r="http://schemas.openxmlformats.org/officeDocument/2006/relationships" ref="I26" r:id="rId19"/>
    <hyperlink xmlns:r="http://schemas.openxmlformats.org/officeDocument/2006/relationships" ref="I28" r:id="rId20"/>
    <hyperlink xmlns:r="http://schemas.openxmlformats.org/officeDocument/2006/relationships" ref="I29" r:id="rId21"/>
    <hyperlink xmlns:r="http://schemas.openxmlformats.org/officeDocument/2006/relationships" ref="I30" r:id="rId22"/>
    <hyperlink xmlns:r="http://schemas.openxmlformats.org/officeDocument/2006/relationships" ref="I31" r:id="rId23"/>
    <hyperlink xmlns:r="http://schemas.openxmlformats.org/officeDocument/2006/relationships" ref="I33" r:id="rId24"/>
    <hyperlink xmlns:r="http://schemas.openxmlformats.org/officeDocument/2006/relationships" ref="I34" r:id="rId25"/>
    <hyperlink xmlns:r="http://schemas.openxmlformats.org/officeDocument/2006/relationships" ref="I35" r:id="rId26"/>
    <hyperlink xmlns:r="http://schemas.openxmlformats.org/officeDocument/2006/relationships" ref="I36" r:id="rId27"/>
    <hyperlink xmlns:r="http://schemas.openxmlformats.org/officeDocument/2006/relationships" ref="I37" r:id="rId28"/>
    <hyperlink xmlns:r="http://schemas.openxmlformats.org/officeDocument/2006/relationships" ref="I39" r:id="rId29"/>
    <hyperlink xmlns:r="http://schemas.openxmlformats.org/officeDocument/2006/relationships" ref="I41" r:id="rId30"/>
    <hyperlink xmlns:r="http://schemas.openxmlformats.org/officeDocument/2006/relationships" ref="I43" r:id="rId31"/>
    <hyperlink xmlns:r="http://schemas.openxmlformats.org/officeDocument/2006/relationships" ref="I44" r:id="rId32"/>
    <hyperlink xmlns:r="http://schemas.openxmlformats.org/officeDocument/2006/relationships" ref="I45" r:id="rId33"/>
    <hyperlink xmlns:r="http://schemas.openxmlformats.org/officeDocument/2006/relationships" ref="I46" r:id="rId34"/>
    <hyperlink xmlns:r="http://schemas.openxmlformats.org/officeDocument/2006/relationships" ref="I48" r:id="rId35"/>
    <hyperlink xmlns:r="http://schemas.openxmlformats.org/officeDocument/2006/relationships" ref="I49" r:id="rId36"/>
    <hyperlink xmlns:r="http://schemas.openxmlformats.org/officeDocument/2006/relationships" ref="I50" r:id="rId37"/>
    <hyperlink xmlns:r="http://schemas.openxmlformats.org/officeDocument/2006/relationships" ref="I51" r:id="rId38"/>
    <hyperlink xmlns:r="http://schemas.openxmlformats.org/officeDocument/2006/relationships" ref="I52" r:id="rId39"/>
    <hyperlink xmlns:r="http://schemas.openxmlformats.org/officeDocument/2006/relationships" ref="I53" r:id="rId40"/>
    <hyperlink xmlns:r="http://schemas.openxmlformats.org/officeDocument/2006/relationships" ref="I54" r:id="rId41"/>
    <hyperlink xmlns:r="http://schemas.openxmlformats.org/officeDocument/2006/relationships" ref="I55" r:id="rId42"/>
    <hyperlink xmlns:r="http://schemas.openxmlformats.org/officeDocument/2006/relationships" ref="I56" r:id="rId43"/>
    <hyperlink xmlns:r="http://schemas.openxmlformats.org/officeDocument/2006/relationships" ref="I57" r:id="rId44"/>
    <hyperlink xmlns:r="http://schemas.openxmlformats.org/officeDocument/2006/relationships" ref="I58" r:id="rId45"/>
    <hyperlink xmlns:r="http://schemas.openxmlformats.org/officeDocument/2006/relationships" ref="I59" r:id="rId46"/>
    <hyperlink xmlns:r="http://schemas.openxmlformats.org/officeDocument/2006/relationships" ref="I60" r:id="rId47"/>
    <hyperlink xmlns:r="http://schemas.openxmlformats.org/officeDocument/2006/relationships" ref="I61" r:id="rId48"/>
    <hyperlink xmlns:r="http://schemas.openxmlformats.org/officeDocument/2006/relationships" ref="I62" r:id="rId49"/>
    <hyperlink xmlns:r="http://schemas.openxmlformats.org/officeDocument/2006/relationships" ref="I63" r:id="rId50"/>
    <hyperlink xmlns:r="http://schemas.openxmlformats.org/officeDocument/2006/relationships" ref="I64" r:id="rId51"/>
    <hyperlink xmlns:r="http://schemas.openxmlformats.org/officeDocument/2006/relationships" ref="I65" r:id="rId52"/>
    <hyperlink xmlns:r="http://schemas.openxmlformats.org/officeDocument/2006/relationships" ref="I66" r:id="rId53"/>
    <hyperlink xmlns:r="http://schemas.openxmlformats.org/officeDocument/2006/relationships" ref="I67" r:id="rId54"/>
    <hyperlink xmlns:r="http://schemas.openxmlformats.org/officeDocument/2006/relationships" ref="I68" r:id="rId55"/>
    <hyperlink xmlns:r="http://schemas.openxmlformats.org/officeDocument/2006/relationships" ref="I69" r:id="rId56"/>
    <hyperlink xmlns:r="http://schemas.openxmlformats.org/officeDocument/2006/relationships" ref="I70" r:id="rId57"/>
    <hyperlink xmlns:r="http://schemas.openxmlformats.org/officeDocument/2006/relationships" ref="I71" r:id="rId58"/>
    <hyperlink xmlns:r="http://schemas.openxmlformats.org/officeDocument/2006/relationships" ref="I72" r:id="rId59"/>
    <hyperlink xmlns:r="http://schemas.openxmlformats.org/officeDocument/2006/relationships" ref="I73" r:id="rId60"/>
    <hyperlink xmlns:r="http://schemas.openxmlformats.org/officeDocument/2006/relationships" ref="I74" r:id="rId61"/>
    <hyperlink xmlns:r="http://schemas.openxmlformats.org/officeDocument/2006/relationships" ref="I75" r:id="rId62"/>
    <hyperlink xmlns:r="http://schemas.openxmlformats.org/officeDocument/2006/relationships" ref="I76" r:id="rId63"/>
    <hyperlink xmlns:r="http://schemas.openxmlformats.org/officeDocument/2006/relationships" ref="I77" r:id="rId64"/>
    <hyperlink xmlns:r="http://schemas.openxmlformats.org/officeDocument/2006/relationships" ref="I78" r:id="rId65"/>
    <hyperlink xmlns:r="http://schemas.openxmlformats.org/officeDocument/2006/relationships" ref="I79" r:id="rId66"/>
    <hyperlink xmlns:r="http://schemas.openxmlformats.org/officeDocument/2006/relationships" ref="I80" r:id="rId67"/>
    <hyperlink xmlns:r="http://schemas.openxmlformats.org/officeDocument/2006/relationships" ref="I81" r:id="rId68"/>
    <hyperlink xmlns:r="http://schemas.openxmlformats.org/officeDocument/2006/relationships" ref="I82" r:id="rId69"/>
    <hyperlink xmlns:r="http://schemas.openxmlformats.org/officeDocument/2006/relationships" ref="I83" r:id="rId70"/>
    <hyperlink xmlns:r="http://schemas.openxmlformats.org/officeDocument/2006/relationships" ref="I84" r:id="rId71"/>
    <hyperlink xmlns:r="http://schemas.openxmlformats.org/officeDocument/2006/relationships" ref="I85" r:id="rId72"/>
    <hyperlink xmlns:r="http://schemas.openxmlformats.org/officeDocument/2006/relationships" ref="I86" r:id="rId73"/>
    <hyperlink xmlns:r="http://schemas.openxmlformats.org/officeDocument/2006/relationships" ref="I87" r:id="rId74"/>
    <hyperlink xmlns:r="http://schemas.openxmlformats.org/officeDocument/2006/relationships" ref="I88" r:id="rId75"/>
    <hyperlink xmlns:r="http://schemas.openxmlformats.org/officeDocument/2006/relationships" ref="I89" r:id="rId76"/>
    <hyperlink xmlns:r="http://schemas.openxmlformats.org/officeDocument/2006/relationships" ref="I90" r:id="rId77"/>
    <hyperlink xmlns:r="http://schemas.openxmlformats.org/officeDocument/2006/relationships" ref="I91" r:id="rId78"/>
    <hyperlink xmlns:r="http://schemas.openxmlformats.org/officeDocument/2006/relationships" ref="I92" r:id="rId79"/>
    <hyperlink xmlns:r="http://schemas.openxmlformats.org/officeDocument/2006/relationships" ref="I93" r:id="rId80"/>
    <hyperlink xmlns:r="http://schemas.openxmlformats.org/officeDocument/2006/relationships" ref="I94" r:id="rId81"/>
    <hyperlink xmlns:r="http://schemas.openxmlformats.org/officeDocument/2006/relationships" ref="I95" r:id="rId82"/>
    <hyperlink xmlns:r="http://schemas.openxmlformats.org/officeDocument/2006/relationships" ref="I96" r:id="rId83"/>
    <hyperlink xmlns:r="http://schemas.openxmlformats.org/officeDocument/2006/relationships" ref="I97" r:id="rId84"/>
    <hyperlink xmlns:r="http://schemas.openxmlformats.org/officeDocument/2006/relationships" ref="I98" r:id="rId85"/>
    <hyperlink xmlns:r="http://schemas.openxmlformats.org/officeDocument/2006/relationships" ref="I99" r:id="rId86"/>
    <hyperlink xmlns:r="http://schemas.openxmlformats.org/officeDocument/2006/relationships" ref="I100" r:id="rId87"/>
    <hyperlink xmlns:r="http://schemas.openxmlformats.org/officeDocument/2006/relationships" ref="I101" r:id="rId88"/>
    <hyperlink xmlns:r="http://schemas.openxmlformats.org/officeDocument/2006/relationships" ref="I102" r:id="rId89"/>
    <hyperlink xmlns:r="http://schemas.openxmlformats.org/officeDocument/2006/relationships" ref="I106" r:id="rId90"/>
    <hyperlink xmlns:r="http://schemas.openxmlformats.org/officeDocument/2006/relationships" ref="I111" r:id="rId91"/>
    <hyperlink xmlns:r="http://schemas.openxmlformats.org/officeDocument/2006/relationships" ref="I112" r:id="rId92"/>
    <hyperlink xmlns:r="http://schemas.openxmlformats.org/officeDocument/2006/relationships" ref="I114" r:id="rId93"/>
    <hyperlink xmlns:r="http://schemas.openxmlformats.org/officeDocument/2006/relationships" ref="I115" r:id="rId94"/>
    <hyperlink xmlns:r="http://schemas.openxmlformats.org/officeDocument/2006/relationships" ref="I117" r:id="rId95"/>
    <hyperlink xmlns:r="http://schemas.openxmlformats.org/officeDocument/2006/relationships" ref="I118" r:id="rId96"/>
    <hyperlink xmlns:r="http://schemas.openxmlformats.org/officeDocument/2006/relationships" ref="I119" r:id="rId97"/>
    <hyperlink xmlns:r="http://schemas.openxmlformats.org/officeDocument/2006/relationships" ref="I120" r:id="rId98"/>
    <hyperlink xmlns:r="http://schemas.openxmlformats.org/officeDocument/2006/relationships" ref="I121" r:id="rId99"/>
    <hyperlink xmlns:r="http://schemas.openxmlformats.org/officeDocument/2006/relationships" ref="I127" r:id="rId100"/>
    <hyperlink xmlns:r="http://schemas.openxmlformats.org/officeDocument/2006/relationships" ref="I129" r:id="rId101"/>
    <hyperlink xmlns:r="http://schemas.openxmlformats.org/officeDocument/2006/relationships" ref="I132" r:id="rId102"/>
    <hyperlink xmlns:r="http://schemas.openxmlformats.org/officeDocument/2006/relationships" ref="I133" r:id="rId103"/>
    <hyperlink xmlns:r="http://schemas.openxmlformats.org/officeDocument/2006/relationships" ref="I140" r:id="rId104"/>
    <hyperlink xmlns:r="http://schemas.openxmlformats.org/officeDocument/2006/relationships" ref="I141" r:id="rId105"/>
    <hyperlink xmlns:r="http://schemas.openxmlformats.org/officeDocument/2006/relationships" ref="I142" r:id="rId106"/>
    <hyperlink xmlns:r="http://schemas.openxmlformats.org/officeDocument/2006/relationships" ref="I145" r:id="rId107"/>
    <hyperlink xmlns:r="http://schemas.openxmlformats.org/officeDocument/2006/relationships" ref="I149" r:id="rId108"/>
    <hyperlink xmlns:r="http://schemas.openxmlformats.org/officeDocument/2006/relationships" ref="I153" r:id="rId1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</cols>
  <sheetData>
    <row r="1">
      <c r="A1" s="12" t="inlineStr">
        <is>
          <t>Resumen de la prospección</t>
        </is>
      </c>
    </row>
    <row r="2">
      <c r="A2" s="13" t="inlineStr">
        <is>
          <t>Se actualiza solo a medida que cambia la columna Estado en Restaurantes.</t>
        </is>
      </c>
    </row>
    <row r="4">
      <c r="A4" s="14" t="inlineStr">
        <is>
          <t>Estado</t>
        </is>
      </c>
      <c r="B4" s="14" t="inlineStr">
        <is>
          <t>Restaurantes</t>
        </is>
      </c>
      <c r="C4" s="14" t="inlineStr">
        <is>
          <t>% del total</t>
        </is>
      </c>
    </row>
    <row r="5">
      <c r="A5" s="15" t="inlineStr">
        <is>
          <t>Por contactar</t>
        </is>
      </c>
      <c r="B5" s="15">
        <f>COUNTIF(Restaurantes!$K$2:$K$153,A5)</f>
        <v/>
      </c>
      <c r="C5" s="16">
        <f>IF($B$13=0,0,B5/$B$13)</f>
        <v/>
      </c>
    </row>
    <row r="6">
      <c r="A6" s="15" t="inlineStr">
        <is>
          <t>Mensaje enviado</t>
        </is>
      </c>
      <c r="B6" s="15">
        <f>COUNTIF(Restaurantes!$K$2:$K$153,A6)</f>
        <v/>
      </c>
      <c r="C6" s="16">
        <f>IF($B$13=0,0,B6/$B$13)</f>
        <v/>
      </c>
    </row>
    <row r="7">
      <c r="A7" s="15" t="inlineStr">
        <is>
          <t>Respondió</t>
        </is>
      </c>
      <c r="B7" s="15">
        <f>COUNTIF(Restaurantes!$K$2:$K$153,A7)</f>
        <v/>
      </c>
      <c r="C7" s="16">
        <f>IF($B$13=0,0,B7/$B$13)</f>
        <v/>
      </c>
    </row>
    <row r="8">
      <c r="A8" s="15" t="inlineStr">
        <is>
          <t>Demo agendada</t>
        </is>
      </c>
      <c r="B8" s="15">
        <f>COUNTIF(Restaurantes!$K$2:$K$153,A8)</f>
        <v/>
      </c>
      <c r="C8" s="16">
        <f>IF($B$13=0,0,B8/$B$13)</f>
        <v/>
      </c>
    </row>
    <row r="9">
      <c r="A9" s="15" t="inlineStr">
        <is>
          <t>En prueba</t>
        </is>
      </c>
      <c r="B9" s="15">
        <f>COUNTIF(Restaurantes!$K$2:$K$153,A9)</f>
        <v/>
      </c>
      <c r="C9" s="16">
        <f>IF($B$13=0,0,B9/$B$13)</f>
        <v/>
      </c>
    </row>
    <row r="10">
      <c r="A10" s="15" t="inlineStr">
        <is>
          <t>Cliente</t>
        </is>
      </c>
      <c r="B10" s="15">
        <f>COUNTIF(Restaurantes!$K$2:$K$153,A10)</f>
        <v/>
      </c>
      <c r="C10" s="16">
        <f>IF($B$13=0,0,B10/$B$13)</f>
        <v/>
      </c>
    </row>
    <row r="11">
      <c r="A11" s="15" t="inlineStr">
        <is>
          <t>No interesado</t>
        </is>
      </c>
      <c r="B11" s="15">
        <f>COUNTIF(Restaurantes!$K$2:$K$153,A11)</f>
        <v/>
      </c>
      <c r="C11" s="16">
        <f>IF($B$13=0,0,B11/$B$13)</f>
        <v/>
      </c>
    </row>
    <row r="12">
      <c r="A12" s="15" t="inlineStr">
        <is>
          <t>Número errado</t>
        </is>
      </c>
      <c r="B12" s="15">
        <f>COUNTIF(Restaurantes!$K$2:$K$153,A12)</f>
        <v/>
      </c>
      <c r="C12" s="16">
        <f>IF($B$13=0,0,B12/$B$13)</f>
        <v/>
      </c>
    </row>
    <row r="13">
      <c r="A13" s="17" t="inlineStr">
        <is>
          <t>Total</t>
        </is>
      </c>
      <c r="B13" s="17">
        <f>COUNTA(Restaurantes!$C$2:$C$153)</f>
        <v/>
      </c>
      <c r="C13" s="16">
        <f>IF($B$13=0,0,B13/$B$13)</f>
        <v/>
      </c>
    </row>
    <row r="14">
      <c r="A14" s="15" t="n"/>
      <c r="B14" s="15" t="n"/>
      <c r="C14" s="15" t="n"/>
    </row>
    <row r="15">
      <c r="A15" s="17" t="inlineStr">
        <is>
          <t>Indicadores</t>
        </is>
      </c>
      <c r="B15" s="15" t="n"/>
      <c r="C15" s="15" t="n"/>
    </row>
    <row r="16">
      <c r="A16" s="15" t="inlineStr">
        <is>
          <t>Contactados (todo menos Por contactar)</t>
        </is>
      </c>
      <c r="B16" s="15">
        <f>B13-B5</f>
        <v/>
      </c>
      <c r="C16" s="15" t="n"/>
    </row>
    <row r="17">
      <c r="A17" s="15" t="inlineStr">
        <is>
          <t>Tasa de respuesta</t>
        </is>
      </c>
      <c r="B17" s="16">
        <f>IF(B16=0,0,(B7+B8+B9+B10+B11)/B16)</f>
        <v/>
      </c>
      <c r="C17" s="15" t="n"/>
    </row>
    <row r="18">
      <c r="A18" s="15" t="inlineStr">
        <is>
          <t>Demos, pruebas y clientes</t>
        </is>
      </c>
      <c r="B18" s="15">
        <f>B8+B9+B10</f>
        <v/>
      </c>
      <c r="C18" s="15" t="n"/>
    </row>
    <row r="19">
      <c r="A19" s="15" t="inlineStr">
        <is>
          <t>Clientes</t>
        </is>
      </c>
      <c r="B19" s="15">
        <f>B10</f>
        <v/>
      </c>
      <c r="C19" s="15" t="n"/>
    </row>
    <row r="20">
      <c r="A20" s="15" t="inlineStr">
        <is>
          <t>Ingreso mensual de clientes (COP)</t>
        </is>
      </c>
      <c r="B20" s="18">
        <f>SUMIFS(Restaurantes!$O$2:$O$153,Restaurantes!$K$2:$K$153,"Cliente")</f>
        <v/>
      </c>
      <c r="C20" s="15" t="n"/>
    </row>
    <row r="21">
      <c r="A21" s="15" t="inlineStr">
        <is>
          <t>Seguimientos vencidos hoy</t>
        </is>
      </c>
      <c r="B21" s="15">
        <f>COUNTIFS(Restaurantes!$K$2:$K$153,"Mensaje enviado",Restaurantes!$M$2:$M$153,"&lt;="&amp;TODAY())</f>
        <v/>
      </c>
      <c r="C21" s="15" t="n"/>
    </row>
    <row r="22">
      <c r="A22" s="15" t="inlineStr">
        <is>
          <t>Restaurantes con celular</t>
        </is>
      </c>
      <c r="B22" s="15">
        <f>COUNTIF(Restaurantes!$H$2:$H$153,"Celular")</f>
        <v/>
      </c>
      <c r="C22" s="15" t="n"/>
    </row>
    <row r="23">
      <c r="A23" s="15" t="inlineStr">
        <is>
          <t>Restaurantes en Medellín</t>
        </is>
      </c>
      <c r="B23" s="15">
        <f>COUNTIF(Restaurantes!$D$2:$D$153,"Medellín")</f>
        <v/>
      </c>
      <c r="C23" s="15" t="n"/>
    </row>
    <row r="24">
      <c r="A24" s="15" t="inlineStr">
        <is>
          <t>Restaurantes en Bello</t>
        </is>
      </c>
      <c r="B24" s="15">
        <f>COUNTIF(Restaurantes!$D$2:$D$153,"Bello")</f>
        <v/>
      </c>
      <c r="C24" s="15" t="n"/>
    </row>
    <row r="25">
      <c r="A25" s="15" t="inlineStr">
        <is>
          <t>Prioridad alta (ya venden por WhatsApp)</t>
        </is>
      </c>
      <c r="B25" s="15">
        <f>COUNTIF(Restaurantes!$B$2:$B$153,"Alta")</f>
        <v/>
      </c>
      <c r="C25" s="15" t="n"/>
    </row>
    <row r="26">
      <c r="A26" s="15" t="inlineStr">
        <is>
          <t>Prioridad media</t>
        </is>
      </c>
      <c r="B26" s="15">
        <f>COUNTIF(Restaurantes!$B$2:$B$153,"Media")</f>
        <v/>
      </c>
      <c r="C26" s="15" t="n"/>
    </row>
    <row r="27">
      <c r="A27" s="15" t="inlineStr">
        <is>
          <t>Prioridad baja</t>
        </is>
      </c>
      <c r="B27" s="15">
        <f>COUNTIF(Restaurantes!$B$2:$B$153,"Baja")</f>
        <v/>
      </c>
      <c r="C27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4" customWidth="1" min="4" max="4"/>
    <col width="110" customWidth="1" min="5" max="5"/>
  </cols>
  <sheetData>
    <row r="1">
      <c r="A1" s="12" t="inlineStr">
        <is>
          <t>Planes y precios</t>
        </is>
      </c>
    </row>
    <row r="3">
      <c r="A3" s="14" t="inlineStr">
        <is>
          <t>Plan</t>
        </is>
      </c>
      <c r="B3" s="14" t="inlineStr">
        <is>
          <t>Mensualidad (COP)</t>
        </is>
      </c>
      <c r="C3" s="14" t="inlineStr">
        <is>
          <t>Instalación (COP)</t>
        </is>
      </c>
      <c r="D3" s="14" t="inlineStr">
        <is>
          <t>Impresora opcional (COP)</t>
        </is>
      </c>
      <c r="E3" s="14" t="inlineStr">
        <is>
          <t>Incluye</t>
        </is>
      </c>
    </row>
    <row r="4">
      <c r="A4" s="19" t="inlineStr">
        <is>
          <t>Básico</t>
        </is>
      </c>
      <c r="B4" s="20" t="n">
        <v>350000</v>
      </c>
      <c r="C4" s="20" t="n">
        <v>200000</v>
      </c>
      <c r="D4" s="20" t="inlineStr">
        <is>
          <t>No disponible</t>
        </is>
      </c>
      <c r="E4" s="21" t="inlineStr">
        <is>
          <t>Bot de pedidos (menú, catálogo, audios), IA del administrador, domicilios por zona y efectivo. Transferencias las confirma una persona.</t>
        </is>
      </c>
    </row>
    <row r="5">
      <c r="A5" s="19" t="inlineStr">
        <is>
          <t>Avanzado</t>
        </is>
      </c>
      <c r="B5" s="20" t="n">
        <v>450000</v>
      </c>
      <c r="C5" s="20" t="n">
        <v>200000</v>
      </c>
      <c r="D5" s="20" t="n">
        <v>350000</v>
      </c>
      <c r="E5" s="21" t="inlineStr">
        <is>
          <t>Todo lo del Básico, y el bot lee el comprobante de transferencia. Impresora de comandas opcional.</t>
        </is>
      </c>
    </row>
    <row r="6">
      <c r="A6" s="19" t="inlineStr">
        <is>
          <t>Premium</t>
        </is>
      </c>
      <c r="B6" s="20" t="n">
        <v>550000</v>
      </c>
      <c r="C6" s="20" t="n">
        <v>200000</v>
      </c>
      <c r="D6" s="20" t="n">
        <v>350000</v>
      </c>
      <c r="E6" s="21" t="inlineStr">
        <is>
          <t>Todo lo del Avanzado, más domiciliarios con liquidación y cierre diario, estadísticas, consultas de pedidos y Excel.</t>
        </is>
      </c>
    </row>
    <row r="9">
      <c r="A9" s="13" t="inlineStr">
        <is>
          <t>Fuente: tabla de planes del panel, enviada por el dueño del producto (28-oct-2026).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2" t="inlineStr">
        <is>
          <t>Mensajes para WhatsApp (uno por uno, desde el número de ventas)</t>
        </is>
      </c>
    </row>
    <row r="3" ht="60" customHeight="1">
      <c r="A3" s="22" t="inlineStr">
        <is>
          <t>1. Primer mensaje</t>
        </is>
      </c>
      <c r="B3" s="21" t="inlineStr">
        <is>
          <t>Buenas, ¿hablo con el restaurante {nombre}? Mi nombre es John Botero, le escribo desde Medellín. Hicimos un asistente para el WhatsApp de restaurantes: le contesta a los clientes, toma el pedido completo con la dirección y le calcula el domicilio según el barrio. El menú del día se carga mandando una foto. ¿Le puedo mostrar cómo funciona?</t>
        </is>
      </c>
    </row>
    <row r="4" ht="60" customHeight="1">
      <c r="A4" s="22" t="inlineStr">
        <is>
          <t>1b. Ya venden por WhatsApp</t>
        </is>
      </c>
      <c r="B4" s="21" t="inlineStr">
        <is>
          <t>Buenas, ¿hablo con {nombre}? Mi nombre es John Botero. Vi que reciben los pedidos por WhatsApp. A la hora del almuerzo, ¿quién contesta todos esos mensajes? Tenemos un asistente que los contesta solo: toma el pedido, confirma la dirección, calcula el domicilio, revisa el comprobante de la transferencia y le manda la comanda a la cocina. Sigue con su mismo número y su app de WhatsApp, y usted ve todos los chats. ¿Le muestro cómo quedaría con su menú?</t>
        </is>
      </c>
    </row>
    <row r="5" ht="60" customHeight="1">
      <c r="A5" s="22" t="inlineStr">
        <is>
          <t>2. Si hacen domicilios</t>
        </is>
      </c>
      <c r="B5" s="21" t="inlineStr">
        <is>
          <t>Hola, vi que {nombre} hace domicilios por WhatsApp. A la hora del almuerzo se llenan los mensajes y alguien tiene que contestar uno por uno, ¿cierto? Tenemos un asistente que contesta, toma el pedido y se lo deja listo. Si quiere, la comanda le sale impresa en la cocina. ¿Le gustaría verlo funcionando con su propio menú?</t>
        </is>
      </c>
    </row>
    <row r="6" ht="60" customHeight="1">
      <c r="A6" s="22" t="inlineStr">
        <is>
          <t>3. Seguimiento (una sola vez)</t>
        </is>
      </c>
      <c r="B6" s="21" t="inlineStr">
        <is>
          <t>Hola de nuevo. Le escribí la semana pasada por el asistente de pedidos para WhatsApp. Si quiere, le preparo una prueba con el menú de {nombre} de esta semana y usted mismo le escribe como si fuera un cliente. ¿Le sirve?</t>
        </is>
      </c>
    </row>
    <row r="7" ht="60" customHeight="1">
      <c r="A7" s="22" t="inlineStr">
        <is>
          <t>4. Cuando dicen que sí</t>
        </is>
      </c>
      <c r="B7" s="21" t="inlineStr">
        <is>
          <t>Listo, con mucho gusto. Mándeme una foto del menú de hoy y los barrios a donde hace domicilios con el valor de cada uno. Con eso se lo dejo armado y le paso el número para que pruebe.</t>
        </is>
      </c>
    </row>
    <row r="8" ht="60" customHeight="1">
      <c r="A8" s="22" t="inlineStr">
        <is>
          <t>5. Llamada a un fijo</t>
        </is>
      </c>
      <c r="B8" s="21" t="inlineStr">
        <is>
          <t>Buenas, ¿con el restaurante {nombre}? Le habla John Botero. ¿Ustedes reciben pedidos por WhatsApp? Le pregunto porque tenemos un asistente que los contesta y toma el pedido completo. ¿Me regala un celular para mandarle cómo funciona?</t>
        </is>
      </c>
    </row>
    <row r="9" ht="60" customHeight="1">
      <c r="A9" s="22" t="inlineStr">
        <is>
          <t>Si dicen que no</t>
        </is>
      </c>
      <c r="B9" s="21" t="inlineStr">
        <is>
          <t>Listo, no le vuelvo a escribir. Que le vaya muy bien.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2" t="inlineStr">
        <is>
          <t>Cómo usar esta hoja</t>
        </is>
      </c>
    </row>
    <row r="3" ht="32" customHeight="1">
      <c r="A3" s="21" t="inlineStr">
        <is>
          <t>1. Empiece por la prioridad Alta: son restaurantes que ya reciben pedidos por WhatsApp (tienen menú en línea que manda el pedido a WhatsApp, o publican su WhatsApp para domicilios). Media: tipo de negocio que suele vender a domicilio y con celular, pero sin prueba de que use WhatsApp. Baja: cafés, bares, restaurantes de mesa o solo con fijo.</t>
        </is>
      </c>
    </row>
    <row r="4" ht="32" customHeight="1">
      <c r="A4" s="21" t="inlineStr">
        <is>
          <t>2. Las celdas amarillas de Restaurantes son las que usted llena: Estado, Primer contacto, Plan de interés, Próxima acción y Notas. Lo demás se calcula solo.</t>
        </is>
      </c>
    </row>
    <row r="5" ht="32" customHeight="1">
      <c r="A5" s="21" t="inlineStr">
        <is>
          <t>3. Ejemplo: escribe por WhatsApp a un restaurante → Estado = Mensaje enviado, Primer contacto = 28/10/2026. La columna Seguimiento muestra 01/11/2026 y se pone en rojo cuando ya toca escribir de nuevo.</t>
        </is>
      </c>
    </row>
    <row r="6" ht="32" customHeight="1">
      <c r="A6" s="21" t="inlineStr">
        <is>
          <t>4. La columna WhatsApp abre el chat con el restaurante y el mensaje ya escrito (1b si ya venden por WhatsApp, 1 si no), firmado por John Botero. Revíselo, envíelo y cambie el Estado a Mensaje enviado. Los fijos (604...) se llaman: use el mensaje 5 de la pestaña Mensajes.</t>
        </is>
      </c>
    </row>
    <row r="7" ht="32" customHeight="1">
      <c r="A7" s="21" t="inlineStr">
        <is>
          <t>5. Cuando alguien escoja un plan, márquelo en Plan de interés; la mensualidad sale de la pestaña Planes.</t>
        </is>
      </c>
    </row>
    <row r="8" ht="32" customHeight="1">
      <c r="A8" s="21" t="inlineStr">
        <is>
          <t>6. Si el número no existe o es de otro negocio, Estado = Número errado.</t>
        </is>
      </c>
    </row>
    <row r="9" ht="32" customHeight="1">
      <c r="A9" s="21" t="inlineStr">
        <is>
          <t>7. Para no arriesgar el número de ventas: 30 a 40 mensajes al día, uno por uno, nunca desde el número del bot.</t>
        </is>
      </c>
    </row>
    <row r="10" ht="32" customHeight="1">
      <c r="A10" s="21" t="inlineStr">
        <is>
          <t>8. Origen de los datos: páginas de menú en línea de cada restaurante (ola.click), directorios de empresas registradas (informacolombia.com y einforma.co) y guías de restaurantes con domicilio (medellinguru.com, varias de 2020). Son registros públicos que pueden estar desactualizados; la columna Fuente lleva a la ficha de cada uno.</t>
        </is>
      </c>
    </row>
    <row r="11" ht="32" customHeight="1">
      <c r="A11" s="21" t="inlineStr">
        <is>
          <t>9. Para conseguir más restaurantes: python3 ventas/buscar_restaurantes.py --solo-contactables (necesita acceso a OpenStreetMap).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2026-10-28T06:44:15Z</dcterms:created>
  <dcterms:modified xmlns:dcterms="http://purl.org/dc/terms/" xmlns:xsi="http://www.w3.org/2001/XMLSchema-instance" xsi:type="dcterms:W3CDTF">2026-10-28T06:44:15Z</dcterms:modified>
</cp:coreProperties>
</file>